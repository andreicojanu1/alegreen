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pollo/Downloads/"/>
    </mc:Choice>
  </mc:AlternateContent>
  <xr:revisionPtr revIDLastSave="0" documentId="13_ncr:1_{CE95E68A-BC56-8A4C-8601-7B461159DA45}" xr6:coauthVersionLast="47" xr6:coauthVersionMax="47" xr10:uidLastSave="{00000000-0000-0000-0000-000000000000}"/>
  <bookViews>
    <workbookView xWindow="0" yWindow="660" windowWidth="29400" windowHeight="17180" tabRatio="500" xr2:uid="{00000000-000D-0000-FFFF-FFFF00000000}"/>
  </bookViews>
  <sheets>
    <sheet name="Raport EEE" sheetId="1" r:id="rId1"/>
    <sheet name="Procente" sheetId="2" r:id="rId2"/>
    <sheet name="Colectat" sheetId="3" r:id="rId3"/>
    <sheet name="Alocare colectat" sheetId="4" r:id="rId4"/>
    <sheet name="Exemplu regulă" sheetId="5" r:id="rId5"/>
  </sheets>
  <definedNames>
    <definedName name="_xlnm._FilterDatabase" localSheetId="0" hidden="1">'Raport EEE'!$A$12:$J$149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5" l="1"/>
  <c r="C11" i="5"/>
  <c r="E11" i="5" s="1"/>
  <c r="D10" i="5"/>
  <c r="E10" i="5" s="1"/>
  <c r="C10" i="5"/>
  <c r="C9" i="5"/>
  <c r="D9" i="5" s="1"/>
  <c r="E9" i="5" s="1"/>
  <c r="C8" i="5"/>
  <c r="C7" i="5"/>
  <c r="C12" i="5" s="1"/>
  <c r="D60" i="4"/>
  <c r="F60" i="4" s="1"/>
  <c r="D59" i="4"/>
  <c r="E59" i="4" s="1"/>
  <c r="D58" i="4"/>
  <c r="E58" i="4" s="1"/>
  <c r="F57" i="4"/>
  <c r="E57" i="4"/>
  <c r="D57" i="4"/>
  <c r="E56" i="4"/>
  <c r="D56" i="4"/>
  <c r="D61" i="4" s="1"/>
  <c r="D53" i="4"/>
  <c r="D54" i="4" s="1"/>
  <c r="F50" i="4"/>
  <c r="D50" i="4"/>
  <c r="E50" i="4" s="1"/>
  <c r="E49" i="4"/>
  <c r="D49" i="4"/>
  <c r="D48" i="4"/>
  <c r="F48" i="4" s="1"/>
  <c r="D47" i="4"/>
  <c r="E47" i="4" s="1"/>
  <c r="D46" i="4"/>
  <c r="E46" i="4" s="1"/>
  <c r="E45" i="4"/>
  <c r="D45" i="4"/>
  <c r="D44" i="4"/>
  <c r="F44" i="4" s="1"/>
  <c r="D41" i="4"/>
  <c r="E41" i="4" s="1"/>
  <c r="E40" i="4"/>
  <c r="D40" i="4"/>
  <c r="F39" i="4"/>
  <c r="D39" i="4"/>
  <c r="E39" i="4" s="1"/>
  <c r="E38" i="4"/>
  <c r="D38" i="4"/>
  <c r="D37" i="4"/>
  <c r="E37" i="4" s="1"/>
  <c r="D36" i="4"/>
  <c r="E36" i="4" s="1"/>
  <c r="D35" i="4"/>
  <c r="E35" i="4" s="1"/>
  <c r="E34" i="4"/>
  <c r="D34" i="4"/>
  <c r="E33" i="4"/>
  <c r="D33" i="4"/>
  <c r="D42" i="4" s="1"/>
  <c r="D30" i="4"/>
  <c r="E30" i="4" s="1"/>
  <c r="F29" i="4"/>
  <c r="E29" i="4"/>
  <c r="D29" i="4"/>
  <c r="F28" i="4"/>
  <c r="D28" i="4"/>
  <c r="D31" i="4" s="1"/>
  <c r="D25" i="4"/>
  <c r="D26" i="4" s="1"/>
  <c r="G16" i="4"/>
  <c r="G15" i="4"/>
  <c r="F15" i="4"/>
  <c r="H15" i="4" s="1"/>
  <c r="D15" i="4"/>
  <c r="C15" i="4"/>
  <c r="F59" i="4" s="1"/>
  <c r="G14" i="4"/>
  <c r="F14" i="4"/>
  <c r="H14" i="4" s="1"/>
  <c r="D14" i="4"/>
  <c r="C14" i="4"/>
  <c r="F53" i="4" s="1"/>
  <c r="G13" i="4"/>
  <c r="F13" i="4"/>
  <c r="H13" i="4" s="1"/>
  <c r="D13" i="4"/>
  <c r="C13" i="4"/>
  <c r="F47" i="4" s="1"/>
  <c r="H12" i="4"/>
  <c r="G12" i="4"/>
  <c r="F12" i="4"/>
  <c r="C12" i="4"/>
  <c r="F36" i="4" s="1"/>
  <c r="G11" i="4"/>
  <c r="F11" i="4"/>
  <c r="H11" i="4" s="1"/>
  <c r="C11" i="4"/>
  <c r="D11" i="4" s="1"/>
  <c r="G10" i="4"/>
  <c r="H10" i="4" s="1"/>
  <c r="F10" i="4"/>
  <c r="F16" i="4" s="1"/>
  <c r="C10" i="4"/>
  <c r="D10" i="4" s="1"/>
  <c r="C73" i="2"/>
  <c r="D72" i="2"/>
  <c r="D73" i="2" s="1"/>
  <c r="C72" i="2"/>
  <c r="E69" i="2"/>
  <c r="C69" i="2"/>
  <c r="D69" i="2" s="1"/>
  <c r="C68" i="2"/>
  <c r="D68" i="2" s="1"/>
  <c r="D67" i="2"/>
  <c r="C67" i="2"/>
  <c r="D66" i="2"/>
  <c r="C66" i="2"/>
  <c r="D65" i="2"/>
  <c r="C65" i="2"/>
  <c r="C64" i="2"/>
  <c r="D64" i="2" s="1"/>
  <c r="C63" i="2"/>
  <c r="C70" i="2" s="1"/>
  <c r="D60" i="2"/>
  <c r="C60" i="2"/>
  <c r="E59" i="2"/>
  <c r="C59" i="2"/>
  <c r="D59" i="2" s="1"/>
  <c r="C58" i="2"/>
  <c r="E58" i="2" s="1"/>
  <c r="C57" i="2"/>
  <c r="C61" i="2" s="1"/>
  <c r="D56" i="2"/>
  <c r="C56" i="2"/>
  <c r="E53" i="2"/>
  <c r="D53" i="2"/>
  <c r="C53" i="2"/>
  <c r="C52" i="2"/>
  <c r="D52" i="2" s="1"/>
  <c r="C51" i="2"/>
  <c r="D51" i="2" s="1"/>
  <c r="D50" i="2"/>
  <c r="C50" i="2"/>
  <c r="D49" i="2"/>
  <c r="C49" i="2"/>
  <c r="C48" i="2"/>
  <c r="E48" i="2" s="1"/>
  <c r="E47" i="2"/>
  <c r="C47" i="2"/>
  <c r="D47" i="2" s="1"/>
  <c r="C46" i="2"/>
  <c r="C54" i="2" s="1"/>
  <c r="D45" i="2"/>
  <c r="C45" i="2"/>
  <c r="E42" i="2"/>
  <c r="D42" i="2"/>
  <c r="C42" i="2"/>
  <c r="C41" i="2"/>
  <c r="D41" i="2" s="1"/>
  <c r="C40" i="2"/>
  <c r="D40" i="2" s="1"/>
  <c r="D43" i="2" s="1"/>
  <c r="D38" i="2"/>
  <c r="D37" i="2"/>
  <c r="C37" i="2"/>
  <c r="C38" i="2" s="1"/>
  <c r="B32" i="2"/>
  <c r="C30" i="2"/>
  <c r="C28" i="2"/>
  <c r="C20" i="2"/>
  <c r="B20" i="2"/>
  <c r="B19" i="2"/>
  <c r="B18" i="2"/>
  <c r="B17" i="2"/>
  <c r="B16" i="2"/>
  <c r="C15" i="2"/>
  <c r="B15" i="2"/>
  <c r="B14" i="2"/>
  <c r="B13" i="2"/>
  <c r="B12" i="2"/>
  <c r="B11" i="2"/>
  <c r="C10" i="2"/>
  <c r="B10" i="2"/>
  <c r="B9" i="2"/>
  <c r="B8" i="2"/>
  <c r="B21" i="2" s="1"/>
  <c r="B7" i="2"/>
  <c r="B3" i="2"/>
  <c r="E67" i="2" s="1"/>
  <c r="T13" i="4" l="1"/>
  <c r="I13" i="4"/>
  <c r="E10" i="4"/>
  <c r="I15" i="4"/>
  <c r="H16" i="4"/>
  <c r="I10" i="4"/>
  <c r="K11" i="4"/>
  <c r="E11" i="4"/>
  <c r="D54" i="2"/>
  <c r="I11" i="4"/>
  <c r="T11" i="4"/>
  <c r="F54" i="4"/>
  <c r="E42" i="4"/>
  <c r="E8" i="5"/>
  <c r="E61" i="4"/>
  <c r="T14" i="4"/>
  <c r="I14" i="4"/>
  <c r="C11" i="2"/>
  <c r="F35" i="4"/>
  <c r="F46" i="4"/>
  <c r="F58" i="4"/>
  <c r="C16" i="2"/>
  <c r="E52" i="2"/>
  <c r="E64" i="2"/>
  <c r="C26" i="2"/>
  <c r="C32" i="2" s="1"/>
  <c r="E37" i="2"/>
  <c r="E38" i="2" s="1"/>
  <c r="D46" i="2"/>
  <c r="E49" i="2"/>
  <c r="D57" i="2"/>
  <c r="E60" i="2"/>
  <c r="E72" i="2"/>
  <c r="E73" i="2" s="1"/>
  <c r="E14" i="4"/>
  <c r="F38" i="4"/>
  <c r="F49" i="4"/>
  <c r="E53" i="4"/>
  <c r="E41" i="2"/>
  <c r="C7" i="2"/>
  <c r="C12" i="2"/>
  <c r="C17" i="2"/>
  <c r="C27" i="2"/>
  <c r="E46" i="2"/>
  <c r="E57" i="2"/>
  <c r="E68" i="2"/>
  <c r="F30" i="4"/>
  <c r="F31" i="4" s="1"/>
  <c r="F41" i="4"/>
  <c r="E65" i="2"/>
  <c r="E13" i="4"/>
  <c r="E25" i="4"/>
  <c r="F34" i="4"/>
  <c r="F45" i="4"/>
  <c r="F51" i="4" s="1"/>
  <c r="E48" i="4"/>
  <c r="D51" i="4"/>
  <c r="E60" i="4"/>
  <c r="D7" i="5"/>
  <c r="C8" i="2"/>
  <c r="C13" i="2"/>
  <c r="C18" i="2"/>
  <c r="C29" i="2"/>
  <c r="C43" i="2"/>
  <c r="E50" i="2"/>
  <c r="D58" i="2"/>
  <c r="D61" i="2" s="1"/>
  <c r="D12" i="4"/>
  <c r="D16" i="4" s="1"/>
  <c r="K15" i="4"/>
  <c r="L15" i="4" s="1"/>
  <c r="C16" i="4"/>
  <c r="D63" i="4" s="1"/>
  <c r="F25" i="4"/>
  <c r="F37" i="4"/>
  <c r="E7" i="5"/>
  <c r="F40" i="4"/>
  <c r="E44" i="4"/>
  <c r="C9" i="2"/>
  <c r="C14" i="2"/>
  <c r="C19" i="2"/>
  <c r="C31" i="2"/>
  <c r="F33" i="4"/>
  <c r="F56" i="4"/>
  <c r="D8" i="5"/>
  <c r="D63" i="2"/>
  <c r="D70" i="2" s="1"/>
  <c r="E66" i="2"/>
  <c r="E40" i="2"/>
  <c r="E43" i="2" s="1"/>
  <c r="D48" i="2"/>
  <c r="E51" i="2"/>
  <c r="E63" i="2"/>
  <c r="E28" i="4"/>
  <c r="E45" i="2"/>
  <c r="E56" i="2"/>
  <c r="E63" i="4" l="1"/>
  <c r="E51" i="4"/>
  <c r="E16" i="4"/>
  <c r="I16" i="4"/>
  <c r="E12" i="4"/>
  <c r="K12" i="4"/>
  <c r="L12" i="4" s="1"/>
  <c r="F61" i="4"/>
  <c r="E26" i="4"/>
  <c r="J11" i="4"/>
  <c r="U11" i="4" s="1"/>
  <c r="T10" i="4"/>
  <c r="K10" i="4"/>
  <c r="I12" i="4"/>
  <c r="J10" i="4"/>
  <c r="T15" i="4"/>
  <c r="E31" i="4"/>
  <c r="F26" i="4"/>
  <c r="C21" i="2"/>
  <c r="J14" i="4"/>
  <c r="U14" i="4" s="1"/>
  <c r="J15" i="4"/>
  <c r="U15" i="4" s="1"/>
  <c r="E54" i="2"/>
  <c r="E70" i="2"/>
  <c r="D12" i="5"/>
  <c r="E54" i="4"/>
  <c r="K14" i="4"/>
  <c r="L14" i="4" s="1"/>
  <c r="E12" i="5"/>
  <c r="E61" i="2"/>
  <c r="F42" i="4"/>
  <c r="K13" i="4"/>
  <c r="L13" i="4" s="1"/>
  <c r="J13" i="4"/>
  <c r="U13" i="4" s="1"/>
  <c r="K16" i="4" l="1"/>
  <c r="L10" i="4"/>
  <c r="J12" i="4"/>
  <c r="U12" i="4" s="1"/>
  <c r="T12" i="4"/>
  <c r="U10" i="4"/>
  <c r="C6" i="4" l="1"/>
  <c r="J16" i="4"/>
  <c r="C5" i="4"/>
  <c r="C7" i="4" l="1"/>
  <c r="M10" i="4"/>
  <c r="O10" i="4" l="1"/>
  <c r="Q10" i="4"/>
  <c r="N10" i="4"/>
  <c r="M11" i="4" l="1"/>
  <c r="R10" i="4"/>
  <c r="P10" i="4"/>
  <c r="G25" i="4"/>
  <c r="H25" i="4"/>
  <c r="H26" i="4" s="1"/>
  <c r="G26" i="4" l="1"/>
  <c r="J26" i="4" s="1"/>
  <c r="J25" i="4"/>
  <c r="Q11" i="4"/>
  <c r="O11" i="4"/>
  <c r="I25" i="4"/>
  <c r="I26" i="4" s="1"/>
  <c r="N11" i="4"/>
  <c r="M12" i="4" l="1"/>
  <c r="H29" i="4"/>
  <c r="H28" i="4"/>
  <c r="H30" i="4"/>
  <c r="R11" i="4"/>
  <c r="G29" i="4"/>
  <c r="J29" i="4" s="1"/>
  <c r="G28" i="4"/>
  <c r="P11" i="4"/>
  <c r="G30" i="4"/>
  <c r="J30" i="4" s="1"/>
  <c r="G31" i="4" l="1"/>
  <c r="J31" i="4" s="1"/>
  <c r="J28" i="4"/>
  <c r="O12" i="4"/>
  <c r="Q12" i="4"/>
  <c r="I29" i="4"/>
  <c r="I28" i="4"/>
  <c r="I30" i="4"/>
  <c r="H31" i="4"/>
  <c r="N12" i="4"/>
  <c r="I31" i="4" l="1"/>
  <c r="H39" i="4"/>
  <c r="H36" i="4"/>
  <c r="H37" i="4"/>
  <c r="H34" i="4"/>
  <c r="H41" i="4"/>
  <c r="H38" i="4"/>
  <c r="H33" i="4"/>
  <c r="H35" i="4"/>
  <c r="H40" i="4"/>
  <c r="R12" i="4"/>
  <c r="G39" i="4"/>
  <c r="J39" i="4" s="1"/>
  <c r="G36" i="4"/>
  <c r="J36" i="4" s="1"/>
  <c r="G40" i="4"/>
  <c r="J40" i="4" s="1"/>
  <c r="G34" i="4"/>
  <c r="J34" i="4" s="1"/>
  <c r="G37" i="4"/>
  <c r="J37" i="4" s="1"/>
  <c r="G41" i="4"/>
  <c r="J41" i="4" s="1"/>
  <c r="P12" i="4"/>
  <c r="G38" i="4"/>
  <c r="J38" i="4" s="1"/>
  <c r="G33" i="4"/>
  <c r="G35" i="4"/>
  <c r="J35" i="4" s="1"/>
  <c r="M13" i="4"/>
  <c r="H42" i="4" l="1"/>
  <c r="Q13" i="4"/>
  <c r="O13" i="4"/>
  <c r="N13" i="4"/>
  <c r="I36" i="4"/>
  <c r="I39" i="4"/>
  <c r="I38" i="4"/>
  <c r="I34" i="4"/>
  <c r="I41" i="4"/>
  <c r="I33" i="4"/>
  <c r="I35" i="4"/>
  <c r="I40" i="4"/>
  <c r="I37" i="4"/>
  <c r="G42" i="4"/>
  <c r="J42" i="4" s="1"/>
  <c r="J33" i="4"/>
  <c r="M14" i="4" l="1"/>
  <c r="R13" i="4"/>
  <c r="G47" i="4"/>
  <c r="J47" i="4" s="1"/>
  <c r="P13" i="4"/>
  <c r="G50" i="4"/>
  <c r="J50" i="4" s="1"/>
  <c r="G48" i="4"/>
  <c r="J48" i="4" s="1"/>
  <c r="G44" i="4"/>
  <c r="G45" i="4"/>
  <c r="J45" i="4" s="1"/>
  <c r="G46" i="4"/>
  <c r="J46" i="4" s="1"/>
  <c r="G49" i="4"/>
  <c r="J49" i="4" s="1"/>
  <c r="H48" i="4"/>
  <c r="H50" i="4"/>
  <c r="H44" i="4"/>
  <c r="H47" i="4"/>
  <c r="H49" i="4"/>
  <c r="H45" i="4"/>
  <c r="H46" i="4"/>
  <c r="I42" i="4"/>
  <c r="G51" i="4" l="1"/>
  <c r="J51" i="4" s="1"/>
  <c r="J44" i="4"/>
  <c r="H51" i="4"/>
  <c r="I50" i="4"/>
  <c r="I47" i="4"/>
  <c r="I48" i="4"/>
  <c r="I44" i="4"/>
  <c r="I49" i="4"/>
  <c r="I45" i="4"/>
  <c r="I46" i="4"/>
  <c r="Q14" i="4"/>
  <c r="O14" i="4"/>
  <c r="N14" i="4"/>
  <c r="I51" i="4" l="1"/>
  <c r="M15" i="4"/>
  <c r="N15" i="4" s="1"/>
  <c r="C19" i="4" s="1"/>
  <c r="R14" i="4"/>
  <c r="P14" i="4"/>
  <c r="G53" i="4"/>
  <c r="H53" i="4"/>
  <c r="H54" i="4" s="1"/>
  <c r="G54" i="4" l="1"/>
  <c r="J54" i="4" s="1"/>
  <c r="J53" i="4"/>
  <c r="I53" i="4"/>
  <c r="I54" i="4" s="1"/>
  <c r="O15" i="4"/>
  <c r="Q15" i="4"/>
  <c r="M16" i="4"/>
  <c r="H57" i="4" l="1"/>
  <c r="H60" i="4"/>
  <c r="H59" i="4"/>
  <c r="H56" i="4"/>
  <c r="H58" i="4"/>
  <c r="Q16" i="4"/>
  <c r="R15" i="4"/>
  <c r="G60" i="4"/>
  <c r="J60" i="4" s="1"/>
  <c r="G57" i="4"/>
  <c r="J57" i="4" s="1"/>
  <c r="G59" i="4"/>
  <c r="J59" i="4" s="1"/>
  <c r="P15" i="4"/>
  <c r="G58" i="4"/>
  <c r="J58" i="4" s="1"/>
  <c r="G56" i="4"/>
  <c r="O16" i="4"/>
  <c r="C18" i="4" l="1"/>
  <c r="D18" i="4" s="1"/>
  <c r="G63" i="4"/>
  <c r="J63" i="4" s="1"/>
  <c r="P16" i="4"/>
  <c r="I57" i="4"/>
  <c r="I59" i="4"/>
  <c r="I60" i="4"/>
  <c r="I56" i="4"/>
  <c r="I61" i="4" s="1"/>
  <c r="I58" i="4"/>
  <c r="R16" i="4"/>
  <c r="I63" i="4" s="1"/>
  <c r="H63" i="4"/>
  <c r="H61" i="4"/>
  <c r="G61" i="4"/>
  <c r="J61" i="4" s="1"/>
  <c r="J56" i="4"/>
  <c r="C20" i="4" l="1"/>
</calcChain>
</file>

<file path=xl/sharedStrings.xml><?xml version="1.0" encoding="utf-8"?>
<sst xmlns="http://schemas.openxmlformats.org/spreadsheetml/2006/main" count="1278" uniqueCount="206">
  <si>
    <t>Raport EEE - Ale Green</t>
  </si>
  <si>
    <t>Generat la: 01.09.2026, 06:49</t>
  </si>
  <si>
    <t>Filtre aplicate:</t>
  </si>
  <si>
    <t>Client:</t>
  </si>
  <si>
    <t>Toți clienții</t>
  </si>
  <si>
    <t>Grupă:</t>
  </si>
  <si>
    <t>Toate grupele</t>
  </si>
  <si>
    <t>Subgrupă:</t>
  </si>
  <si>
    <t>Toate subgrupele</t>
  </si>
  <si>
    <t>Totaluri:</t>
  </si>
  <si>
    <t>Total Bucăți:</t>
  </si>
  <si>
    <t>Total Greutate (kg):</t>
  </si>
  <si>
    <t>Valoare Totală (RON):</t>
  </si>
  <si>
    <t>Perioada</t>
  </si>
  <si>
    <t>Client</t>
  </si>
  <si>
    <t>CUI</t>
  </si>
  <si>
    <t>Cod Categorie</t>
  </si>
  <si>
    <t>Categorie</t>
  </si>
  <si>
    <t>Cod Subcategorie</t>
  </si>
  <si>
    <t>Subcategorie</t>
  </si>
  <si>
    <t>Bucăți</t>
  </si>
  <si>
    <t>Greutate (kg)</t>
  </si>
  <si>
    <t>Valoare (RON)</t>
  </si>
  <si>
    <t>Iulie 2026</t>
  </si>
  <si>
    <t>CATE-N LUNA SI-N STELE SRL</t>
  </si>
  <si>
    <t>39679960</t>
  </si>
  <si>
    <t>5</t>
  </si>
  <si>
    <t>ECHIPAMENTE DE MICI DIMENSIUNI</t>
  </si>
  <si>
    <t>5.5</t>
  </si>
  <si>
    <t>Alte echipamente mici ≤ 0.2 kg</t>
  </si>
  <si>
    <t>5.6</t>
  </si>
  <si>
    <t>Alte echipamente mici &gt;0.2 kg ≤ 1 kg</t>
  </si>
  <si>
    <t>5.8</t>
  </si>
  <si>
    <t>Alte echipamente mici &gt; 2 kg ≤ 4 kg</t>
  </si>
  <si>
    <t>5.9</t>
  </si>
  <si>
    <t>Alte echipamente mici &gt; 4 kg ≤ 20 kg</t>
  </si>
  <si>
    <t>3</t>
  </si>
  <si>
    <t>LAMPI</t>
  </si>
  <si>
    <t>3.1</t>
  </si>
  <si>
    <t>Lampi LED</t>
  </si>
  <si>
    <t>SC SPOT VISION LIGHTING DISTRIBUTION SRL</t>
  </si>
  <si>
    <t>RO17072311</t>
  </si>
  <si>
    <t>3.2</t>
  </si>
  <si>
    <t>Alte lampi</t>
  </si>
  <si>
    <t>NOVO BRANDS SRL</t>
  </si>
  <si>
    <t>42892720</t>
  </si>
  <si>
    <t>2</t>
  </si>
  <si>
    <t>ECRANE, MONITOARE SI ECHIPAMENTE CU ECRANE</t>
  </si>
  <si>
    <t>2.2</t>
  </si>
  <si>
    <t>Calculatoare portabile</t>
  </si>
  <si>
    <t>Elbi Electric &amp; Lighting SRL</t>
  </si>
  <si>
    <t>RO17412685</t>
  </si>
  <si>
    <t>5.7</t>
  </si>
  <si>
    <t>Alte echipamente mici &gt; 1kg ≤ 2 kg</t>
  </si>
  <si>
    <t>BEKO ROMANIA S.A.</t>
  </si>
  <si>
    <t>RO933930</t>
  </si>
  <si>
    <t>4</t>
  </si>
  <si>
    <t>ECHIPAMENTE DE MARI DIMENSIUNI</t>
  </si>
  <si>
    <t>4.4</t>
  </si>
  <si>
    <t>Uscatoare de rufe</t>
  </si>
  <si>
    <t>Iunie 2026</t>
  </si>
  <si>
    <t>Exemplu</t>
  </si>
  <si>
    <t>28736322</t>
  </si>
  <si>
    <t>4.5</t>
  </si>
  <si>
    <t>Sobe electrice, Cuptoare</t>
  </si>
  <si>
    <t>4.7</t>
  </si>
  <si>
    <t>Plite electrice</t>
  </si>
  <si>
    <t>4.3</t>
  </si>
  <si>
    <t>Masini de spalat vase</t>
  </si>
  <si>
    <t>4.1</t>
  </si>
  <si>
    <t>Masini de spalat rufe</t>
  </si>
  <si>
    <t>4.2</t>
  </si>
  <si>
    <t>Masini de gatit</t>
  </si>
  <si>
    <t>4.6</t>
  </si>
  <si>
    <t>Hote</t>
  </si>
  <si>
    <t>5.1</t>
  </si>
  <si>
    <t>Cuptoare cu microunde</t>
  </si>
  <si>
    <t>5.2</t>
  </si>
  <si>
    <t>Aspiratoare</t>
  </si>
  <si>
    <t>5.3</t>
  </si>
  <si>
    <t>Roboti de bucatarie</t>
  </si>
  <si>
    <t>Paragon Electroinvest SRL</t>
  </si>
  <si>
    <t>40786242</t>
  </si>
  <si>
    <t>4.9</t>
  </si>
  <si>
    <t>Echipamente IT&amp;C mari si servere &gt; 25kg ≤ 100kg</t>
  </si>
  <si>
    <t>RIA DO TRADING SRL</t>
  </si>
  <si>
    <t>RO11749542</t>
  </si>
  <si>
    <t>5.10</t>
  </si>
  <si>
    <t>Alte echipamente mici &gt; 20 kg</t>
  </si>
  <si>
    <t>4B</t>
  </si>
  <si>
    <t>PANOURI FOTOVOLTAICE</t>
  </si>
  <si>
    <t>Panouri fotovoltaice</t>
  </si>
  <si>
    <t>Aprilie 2026</t>
  </si>
  <si>
    <t>4.8</t>
  </si>
  <si>
    <t>Echipamente IT&amp;C de mari dimensiuni ≤ 25 kg</t>
  </si>
  <si>
    <t>OMAC SRL</t>
  </si>
  <si>
    <t>16457220</t>
  </si>
  <si>
    <t>4.14</t>
  </si>
  <si>
    <t>Alte echipamente mari &gt; 50 kg ≤ 100 kg</t>
  </si>
  <si>
    <t>ECO SUN NICULESTI S.R.L.</t>
  </si>
  <si>
    <t>44814078</t>
  </si>
  <si>
    <t>Coral Business Instal SRL</t>
  </si>
  <si>
    <t>31990390</t>
  </si>
  <si>
    <t>Mai 2026</t>
  </si>
  <si>
    <t>RO.IPP1 S.R.L</t>
  </si>
  <si>
    <t>49807063</t>
  </si>
  <si>
    <t>Martie 2026</t>
  </si>
  <si>
    <t>4.12</t>
  </si>
  <si>
    <t>Alte echipamente mari &gt; 4 kg ≤ 10 kg</t>
  </si>
  <si>
    <t>IHUNT TECHNOLOGY IMPORT-EXPORT S.A</t>
  </si>
  <si>
    <t>RO34184455</t>
  </si>
  <si>
    <t>6</t>
  </si>
  <si>
    <t>ECHIP. IT&amp;C MICI</t>
  </si>
  <si>
    <t>6.1</t>
  </si>
  <si>
    <t>Telefoane mobile, GPS</t>
  </si>
  <si>
    <t>6.5</t>
  </si>
  <si>
    <t>Alte echipamente IT&amp;C &gt; 0.02 kg ≤ 0.2 kg</t>
  </si>
  <si>
    <t>6.6</t>
  </si>
  <si>
    <t>Alte echipamente IT&amp;C &gt; 0.2 kg ≤ 1 kg</t>
  </si>
  <si>
    <t>4.15</t>
  </si>
  <si>
    <t>Alte echipamente mari &gt; 100 kg</t>
  </si>
  <si>
    <t>2.3</t>
  </si>
  <si>
    <t>Monitoare pentru calculatoare</t>
  </si>
  <si>
    <t>ATLANTIS R.PW</t>
  </si>
  <si>
    <t>45718753</t>
  </si>
  <si>
    <t>4.13</t>
  </si>
  <si>
    <t>Alte echipamente mari &gt; 10 kg ≤ 50 kg</t>
  </si>
  <si>
    <t>Februarie 2026</t>
  </si>
  <si>
    <t>TOTAL:</t>
  </si>
  <si>
    <t>Analiză procentuală – Raport EEE Ale Green</t>
  </si>
  <si>
    <t>Total greutate (kg):</t>
  </si>
  <si>
    <t>1. Ponderea fiecărui client din total greutate</t>
  </si>
  <si>
    <t>% din total</t>
  </si>
  <si>
    <t>TOTAL</t>
  </si>
  <si>
    <t>2. Ponderea fiecărei categorii din total greutate</t>
  </si>
  <si>
    <t>Cod</t>
  </si>
  <si>
    <t>ECRANE, MONITOARE SI ECHIPAMENTE CU ECRANE CATEGORIA 2</t>
  </si>
  <si>
    <t>LAMPI CATEGORIA 3</t>
  </si>
  <si>
    <t>ECHIPAMENTE DE MARI DIMENSIUNI CATEGORIA 4</t>
  </si>
  <si>
    <t>PANOURI FOTOVOLTAICE CATEGORIA 4B</t>
  </si>
  <si>
    <t>ECHIPAMENTE DE MICI DIMENSIUNI CATEGORIA 5</t>
  </si>
  <si>
    <t>ECHIP. IT&amp;C MICI CATEGORIA 6</t>
  </si>
  <si>
    <t>3. Ponderea fiecărui client în cadrul fiecărei categorii (% din total categorie)</t>
  </si>
  <si>
    <t>% din categorie</t>
  </si>
  <si>
    <t>% din total general</t>
  </si>
  <si>
    <t>Subtotal</t>
  </si>
  <si>
    <t>Notă: toate procentele sunt calculate pe baza coloanei „Greutate (kg)" din foaia Raport EEE (rândurile 13–148).</t>
  </si>
  <si>
    <t>COLECTAT IULIE KG</t>
  </si>
  <si>
    <t>COLECTAT AUGUST KG</t>
  </si>
  <si>
    <t>Alocarea cantităților colectate (iulie + august) pe clienți</t>
  </si>
  <si>
    <t>Reguli: obligația = 21,67% din declarat · cat. 3 (Lămpi) se îndeplinește 100% doar cu lămpi colectate · cat. 2, 4, 5, 6 – minim 30% din obligație cu colectat din categoria proprie, restul de 70% cu orice categorie · panourile (4B) – integral din orice categorie.</t>
  </si>
  <si>
    <t>Rata de colectare (obligație din declarat):</t>
  </si>
  <si>
    <t>← celulă de intrare</t>
  </si>
  <si>
    <t>Minim din categoria proprie (din obligație):</t>
  </si>
  <si>
    <t>Pool disponibil pentru realocare (kg):</t>
  </si>
  <si>
    <t xml:space="preserve">   din care colectat în iulie (kg):</t>
  </si>
  <si>
    <t xml:space="preserve">   cota de iulie în pool:</t>
  </si>
  <si>
    <t>Declarat (kg)</t>
  </si>
  <si>
    <t>Obligație 21,67% (kg)</t>
  </si>
  <si>
    <t>Minim obligatoriu din categoria proprie (kg)</t>
  </si>
  <si>
    <t>Colectat iulie (kg)</t>
  </si>
  <si>
    <t>Colectat august (kg)</t>
  </si>
  <si>
    <t>Colectat total (kg)</t>
  </si>
  <si>
    <t>Utilizat din propriu (kg)</t>
  </si>
  <si>
    <t>Surplus în pool (kg)</t>
  </si>
  <si>
    <t>Necesar rămas (kg)</t>
  </si>
  <si>
    <t>Maxim admis din alte categorii (kg)</t>
  </si>
  <si>
    <t>Alocat din pool (kg)</t>
  </si>
  <si>
    <t>Pool rămas (kg)</t>
  </si>
  <si>
    <t>TOTAL alocat (kg)</t>
  </si>
  <si>
    <t>% din obligație</t>
  </si>
  <si>
    <t>Alocat iulie (kg)</t>
  </si>
  <si>
    <t>Alocat august (kg)</t>
  </si>
  <si>
    <t>Regulă aplicată</t>
  </si>
  <si>
    <t>Utilizat propriu – iulie</t>
  </si>
  <si>
    <t>Surplus în pool – iulie</t>
  </si>
  <si>
    <t>Min. 30% din obligație cu propriu; max 70% din alte categorii</t>
  </si>
  <si>
    <t>Doar categoria proprie (100% lămpi)</t>
  </si>
  <si>
    <t>Integral din orice categorie colectată</t>
  </si>
  <si>
    <t>Verificare – total alocat vs. colectat disponibil (kg):</t>
  </si>
  <si>
    <t>Colectat rămas nealocat (pool neutilizat, kg):</t>
  </si>
  <si>
    <t>Verificare alocat iulie + august = total alocat (kg):</t>
  </si>
  <si>
    <t>Alocarea pe clienți – proporțional cu ponderea fiecărui client în categorie</t>
  </si>
  <si>
    <t>Alocat TOTAL (kg)</t>
  </si>
  <si>
    <t>% îndeplinire</t>
  </si>
  <si>
    <t>TOTAL GENERAL</t>
  </si>
  <si>
    <t>Note și ipoteze:</t>
  </si>
  <si>
    <t>• Obligația fiecărei categorii și a fiecărui client = 21,67% din cantitatea declarată (rata în celula C3).</t>
  </si>
  <si>
    <t>• Cat. 3 (Lămpi): obligația se acoperă exclusiv cu lămpi colectate.</t>
  </si>
  <si>
    <t>• Cat. 2, 4, 5, 6: minim 30% din obligație trebuie acoperit cu colectat din categoria proprie (coloana E); restul de maxim 70% poate veni din orice categorie.</t>
  </si>
  <si>
    <t>• Cat. 4B (Panouri): obligația se poate acoperi integral din orice categorie colectată.</t>
  </si>
  <si>
    <t>• Colectatul care depășește obligația propriei categorii intră în pool și se realocă în ordinea 2, 4, 5, 6, apoi panouri (4B).</t>
  </si>
  <si>
    <t>• Defalcarea pe luni: partea din colectatul propriu păstrează proporția iulie/august a categoriei; partea din pool preia proporția iulie/august a pool-ului (celula C7).</t>
  </si>
  <si>
    <t>• Coloanele T și U sunt ajutătoare pentru defalcarea pe luni.</t>
  </si>
  <si>
    <t>Exemplu de verificare a regulii – client cu 100 kg declarate</t>
  </si>
  <si>
    <t>Celulele albastre sunt intrări; restul sunt formule.</t>
  </si>
  <si>
    <t>Rata de colectare:</t>
  </si>
  <si>
    <t>Minim din categoria proprie (kg)</t>
  </si>
  <si>
    <t>Poate fi din orice categorie (kg)</t>
  </si>
  <si>
    <t>Regulă</t>
  </si>
  <si>
    <t>Doar lămpi colectate (100%)</t>
  </si>
  <si>
    <t>Min. 30% ecrane, restul orice categorie</t>
  </si>
  <si>
    <t>Min. 30% echip. mari, restul orice categorie</t>
  </si>
  <si>
    <t>Min. 30% echip. mici, restul orice categorie</t>
  </si>
  <si>
    <t>Integral din orice categorie</t>
  </si>
  <si>
    <t>Aceasta este exact logica aplicată în foaia „Alocare colectat" pe datele reale.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</si>
</sst>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</font>
    <font>
      <b/>
      <sz val="16"/>
      <color rgb="FF1A5F1A"/>
      <name val="Calibri"/>
      <family val="2"/>
      <charset val="1"/>
    </font>
    <font>
      <i/>
      <sz val="10"/>
      <color rgb="FF616161"/>
      <name val="Calibri"/>
      <family val="2"/>
      <charset val="1"/>
    </font>
    <font>
      <b/>
      <sz val="11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color rgb="FF1A5F1A"/>
      <name val="Calibri"/>
      <family val="2"/>
      <charset val="1"/>
    </font>
    <font>
      <b/>
      <sz val="14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i/>
      <sz val="9"/>
      <name val="Arial"/>
      <family val="2"/>
      <charset val="1"/>
    </font>
    <font>
      <b/>
      <sz val="14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9"/>
      <color rgb="FF808080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A5F1A"/>
        <bgColor rgb="FF333333"/>
      </patternFill>
    </fill>
    <fill>
      <patternFill patternType="solid">
        <fgColor rgb="FFF5F5F5"/>
        <bgColor rgb="FFF2F2F2"/>
      </patternFill>
    </fill>
    <fill>
      <patternFill patternType="solid">
        <fgColor rgb="FFE8F5E9"/>
        <bgColor rgb="FFF2F2F2"/>
      </patternFill>
    </fill>
    <fill>
      <patternFill patternType="solid">
        <fgColor rgb="FF305496"/>
        <bgColor rgb="FF616161"/>
      </patternFill>
    </fill>
    <fill>
      <patternFill patternType="solid">
        <fgColor rgb="FFD9E1F2"/>
        <bgColor rgb="FFE8F5E9"/>
      </patternFill>
    </fill>
    <fill>
      <patternFill patternType="solid">
        <fgColor rgb="FFFFF2CC"/>
        <bgColor rgb="FFF2F2F2"/>
      </patternFill>
    </fill>
    <fill>
      <patternFill patternType="solid">
        <fgColor rgb="FFA6A6A6"/>
        <bgColor rgb="FFBDBDBD"/>
      </patternFill>
    </fill>
    <fill>
      <patternFill patternType="solid">
        <fgColor rgb="FFF2F2F2"/>
        <bgColor rgb="FFF5F5F5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medium">
        <color rgb="FF1A5F1A"/>
      </top>
      <bottom style="medium">
        <color rgb="FF1A5F1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4" fontId="5" fillId="0" borderId="0" xfId="0" applyNumberFormat="1" applyFont="1"/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3" fontId="5" fillId="3" borderId="1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7" fillId="4" borderId="2" xfId="0" applyFont="1" applyFill="1" applyBorder="1" applyAlignment="1">
      <alignment horizontal="left" vertical="center"/>
    </xf>
    <xf numFmtId="3" fontId="7" fillId="4" borderId="2" xfId="0" applyNumberFormat="1" applyFont="1" applyFill="1" applyBorder="1" applyAlignment="1">
      <alignment horizontal="right" vertical="center"/>
    </xf>
    <xf numFmtId="4" fontId="7" fillId="4" borderId="2" xfId="0" applyNumberFormat="1" applyFont="1" applyFill="1" applyBorder="1" applyAlignment="1">
      <alignment horizontal="right" vertical="center"/>
    </xf>
    <xf numFmtId="0" fontId="8" fillId="0" borderId="0" xfId="0" applyFont="1"/>
    <xf numFmtId="0" fontId="9" fillId="0" borderId="0" xfId="0" applyFont="1"/>
    <xf numFmtId="4" fontId="9" fillId="0" borderId="0" xfId="0" applyNumberFormat="1" applyFont="1"/>
    <xf numFmtId="0" fontId="10" fillId="0" borderId="0" xfId="0" applyFont="1"/>
    <xf numFmtId="0" fontId="11" fillId="5" borderId="3" xfId="0" applyFont="1" applyFill="1" applyBorder="1" applyAlignment="1">
      <alignment horizontal="center" vertical="center" wrapText="1"/>
    </xf>
    <xf numFmtId="0" fontId="12" fillId="0" borderId="3" xfId="0" applyFont="1" applyBorder="1"/>
    <xf numFmtId="4" fontId="12" fillId="0" borderId="3" xfId="0" applyNumberFormat="1" applyFont="1" applyBorder="1"/>
    <xf numFmtId="10" fontId="12" fillId="0" borderId="3" xfId="0" applyNumberFormat="1" applyFont="1" applyBorder="1"/>
    <xf numFmtId="0" fontId="9" fillId="6" borderId="3" xfId="0" applyFont="1" applyFill="1" applyBorder="1"/>
    <xf numFmtId="4" fontId="9" fillId="6" borderId="3" xfId="0" applyNumberFormat="1" applyFont="1" applyFill="1" applyBorder="1"/>
    <xf numFmtId="10" fontId="9" fillId="6" borderId="3" xfId="0" applyNumberFormat="1" applyFont="1" applyFill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10" fontId="17" fillId="7" borderId="0" xfId="0" applyNumberFormat="1" applyFont="1" applyFill="1"/>
    <xf numFmtId="0" fontId="18" fillId="0" borderId="0" xfId="0" applyFont="1"/>
    <xf numFmtId="4" fontId="19" fillId="0" borderId="0" xfId="0" applyNumberFormat="1" applyFont="1"/>
    <xf numFmtId="10" fontId="19" fillId="0" borderId="0" xfId="0" applyNumberFormat="1" applyFont="1"/>
    <xf numFmtId="0" fontId="20" fillId="5" borderId="3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19" fillId="0" borderId="3" xfId="0" applyFont="1" applyBorder="1"/>
    <xf numFmtId="4" fontId="19" fillId="0" borderId="3" xfId="0" applyNumberFormat="1" applyFont="1" applyBorder="1"/>
    <xf numFmtId="10" fontId="19" fillId="0" borderId="3" xfId="0" applyNumberFormat="1" applyFont="1" applyBorder="1"/>
    <xf numFmtId="0" fontId="15" fillId="0" borderId="3" xfId="0" applyFont="1" applyBorder="1"/>
    <xf numFmtId="4" fontId="21" fillId="9" borderId="3" xfId="0" applyNumberFormat="1" applyFont="1" applyFill="1" applyBorder="1"/>
    <xf numFmtId="0" fontId="16" fillId="6" borderId="3" xfId="0" applyFont="1" applyFill="1" applyBorder="1"/>
    <xf numFmtId="4" fontId="16" fillId="6" borderId="3" xfId="0" applyNumberFormat="1" applyFont="1" applyFill="1" applyBorder="1"/>
    <xf numFmtId="10" fontId="16" fillId="6" borderId="3" xfId="0" applyNumberFormat="1" applyFont="1" applyFill="1" applyBorder="1"/>
    <xf numFmtId="4" fontId="0" fillId="0" borderId="0" xfId="0" applyNumberFormat="1"/>
    <xf numFmtId="0" fontId="19" fillId="0" borderId="0" xfId="0" applyFont="1"/>
    <xf numFmtId="0" fontId="22" fillId="0" borderId="0" xfId="0" applyFont="1"/>
    <xf numFmtId="4" fontId="17" fillId="0" borderId="3" xfId="0" applyNumberFormat="1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F1A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5F5F5"/>
      <rgbColor rgb="FFFFFF99"/>
      <rgbColor rgb="FFBDBDB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16161"/>
      <rgbColor rgb="FFA6A6A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9"/>
  <sheetViews>
    <sheetView tabSelected="1" zoomScaleNormal="100" workbookViewId="0">
      <selection activeCell="L11" sqref="L11"/>
    </sheetView>
  </sheetViews>
  <sheetFormatPr baseColWidth="10" defaultColWidth="15" defaultRowHeight="15" x14ac:dyDescent="0.2"/>
  <cols>
    <col min="1" max="1" width="18" customWidth="1"/>
    <col min="2" max="2" width="30" customWidth="1"/>
    <col min="5" max="5" width="25" customWidth="1"/>
    <col min="6" max="6" width="18" customWidth="1"/>
    <col min="7" max="7" width="25" customWidth="1"/>
    <col min="8" max="8" width="12" customWidth="1"/>
    <col min="9" max="10" width="16" customWidth="1"/>
  </cols>
  <sheetData>
    <row r="1" spans="1:10" ht="39.75" customHeight="1" x14ac:dyDescent="0.2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10" x14ac:dyDescent="0.2">
      <c r="A2" s="51" t="s">
        <v>1</v>
      </c>
      <c r="B2" s="51"/>
      <c r="C2" s="51"/>
      <c r="D2" s="51"/>
      <c r="E2" s="51"/>
      <c r="F2" s="51"/>
      <c r="G2" s="51"/>
      <c r="H2" s="51"/>
      <c r="I2" s="51"/>
    </row>
    <row r="4" spans="1:10" x14ac:dyDescent="0.2">
      <c r="A4" s="1" t="s">
        <v>2</v>
      </c>
    </row>
    <row r="5" spans="1:10" x14ac:dyDescent="0.2">
      <c r="A5" s="2" t="s">
        <v>3</v>
      </c>
      <c r="B5" s="3" t="s">
        <v>4</v>
      </c>
    </row>
    <row r="6" spans="1:10" x14ac:dyDescent="0.2">
      <c r="A6" s="2" t="s">
        <v>5</v>
      </c>
      <c r="B6" s="3" t="s">
        <v>6</v>
      </c>
    </row>
    <row r="7" spans="1:10" x14ac:dyDescent="0.2">
      <c r="A7" s="2" t="s">
        <v>7</v>
      </c>
      <c r="B7" s="3" t="s">
        <v>8</v>
      </c>
    </row>
    <row r="9" spans="1:10" x14ac:dyDescent="0.2">
      <c r="A9" s="1" t="s">
        <v>9</v>
      </c>
    </row>
    <row r="10" spans="1:10" x14ac:dyDescent="0.2">
      <c r="A10" s="2" t="s">
        <v>10</v>
      </c>
      <c r="B10" s="4">
        <v>1989387</v>
      </c>
      <c r="C10" s="2" t="s">
        <v>11</v>
      </c>
      <c r="D10" s="5">
        <v>18014000.101</v>
      </c>
      <c r="E10" s="2" t="s">
        <v>12</v>
      </c>
      <c r="F10" s="5">
        <v>16869558.050000001</v>
      </c>
    </row>
    <row r="12" spans="1:10" ht="29.25" customHeight="1" x14ac:dyDescent="0.2">
      <c r="A12" s="6" t="s">
        <v>13</v>
      </c>
      <c r="B12" s="6" t="s">
        <v>14</v>
      </c>
      <c r="C12" s="6" t="s">
        <v>15</v>
      </c>
      <c r="D12" s="6" t="s">
        <v>16</v>
      </c>
      <c r="E12" s="6" t="s">
        <v>17</v>
      </c>
      <c r="F12" s="6" t="s">
        <v>18</v>
      </c>
      <c r="G12" s="6" t="s">
        <v>19</v>
      </c>
      <c r="H12" s="7" t="s">
        <v>20</v>
      </c>
      <c r="I12" s="7" t="s">
        <v>21</v>
      </c>
      <c r="J12" s="7" t="s">
        <v>22</v>
      </c>
    </row>
    <row r="13" spans="1:10" x14ac:dyDescent="0.2">
      <c r="A13" s="8" t="s">
        <v>23</v>
      </c>
      <c r="B13" s="8" t="s">
        <v>24</v>
      </c>
      <c r="C13" s="8" t="s">
        <v>25</v>
      </c>
      <c r="D13" s="8" t="s">
        <v>26</v>
      </c>
      <c r="E13" s="8" t="s">
        <v>27</v>
      </c>
      <c r="F13" s="8" t="s">
        <v>28</v>
      </c>
      <c r="G13" s="8" t="s">
        <v>29</v>
      </c>
      <c r="H13" s="9">
        <v>140</v>
      </c>
      <c r="I13" s="10">
        <v>0</v>
      </c>
      <c r="J13" s="10">
        <v>14</v>
      </c>
    </row>
    <row r="14" spans="1:10" x14ac:dyDescent="0.2">
      <c r="A14" s="11" t="s">
        <v>23</v>
      </c>
      <c r="B14" s="11" t="s">
        <v>24</v>
      </c>
      <c r="C14" s="11" t="s">
        <v>25</v>
      </c>
      <c r="D14" s="11" t="s">
        <v>26</v>
      </c>
      <c r="E14" s="11" t="s">
        <v>27</v>
      </c>
      <c r="F14" s="11" t="s">
        <v>30</v>
      </c>
      <c r="G14" s="11" t="s">
        <v>31</v>
      </c>
      <c r="H14" s="12">
        <v>296</v>
      </c>
      <c r="I14" s="13">
        <v>0</v>
      </c>
      <c r="J14" s="13">
        <v>88.8</v>
      </c>
    </row>
    <row r="15" spans="1:10" x14ac:dyDescent="0.2">
      <c r="A15" s="8" t="s">
        <v>23</v>
      </c>
      <c r="B15" s="8" t="s">
        <v>24</v>
      </c>
      <c r="C15" s="8" t="s">
        <v>25</v>
      </c>
      <c r="D15" s="8" t="s">
        <v>26</v>
      </c>
      <c r="E15" s="8" t="s">
        <v>27</v>
      </c>
      <c r="F15" s="8" t="s">
        <v>32</v>
      </c>
      <c r="G15" s="8" t="s">
        <v>33</v>
      </c>
      <c r="H15" s="9">
        <v>23</v>
      </c>
      <c r="I15" s="10">
        <v>0</v>
      </c>
      <c r="J15" s="10">
        <v>59.8</v>
      </c>
    </row>
    <row r="16" spans="1:10" x14ac:dyDescent="0.2">
      <c r="A16" s="11" t="s">
        <v>23</v>
      </c>
      <c r="B16" s="11" t="s">
        <v>24</v>
      </c>
      <c r="C16" s="11" t="s">
        <v>25</v>
      </c>
      <c r="D16" s="11" t="s">
        <v>26</v>
      </c>
      <c r="E16" s="11" t="s">
        <v>27</v>
      </c>
      <c r="F16" s="11" t="s">
        <v>34</v>
      </c>
      <c r="G16" s="11" t="s">
        <v>35</v>
      </c>
      <c r="H16" s="12">
        <v>4</v>
      </c>
      <c r="I16" s="13">
        <v>0</v>
      </c>
      <c r="J16" s="13">
        <v>26</v>
      </c>
    </row>
    <row r="17" spans="1:10" x14ac:dyDescent="0.2">
      <c r="A17" s="8" t="s">
        <v>23</v>
      </c>
      <c r="B17" s="8" t="s">
        <v>24</v>
      </c>
      <c r="C17" s="8" t="s">
        <v>25</v>
      </c>
      <c r="D17" s="8" t="s">
        <v>36</v>
      </c>
      <c r="E17" s="8" t="s">
        <v>37</v>
      </c>
      <c r="F17" s="8" t="s">
        <v>38</v>
      </c>
      <c r="G17" s="8" t="s">
        <v>39</v>
      </c>
      <c r="H17" s="9">
        <v>13</v>
      </c>
      <c r="I17" s="10">
        <v>0</v>
      </c>
      <c r="J17" s="10">
        <v>4.55</v>
      </c>
    </row>
    <row r="18" spans="1:10" x14ac:dyDescent="0.2">
      <c r="A18" s="11" t="s">
        <v>23</v>
      </c>
      <c r="B18" s="11" t="s">
        <v>40</v>
      </c>
      <c r="C18" s="11" t="s">
        <v>41</v>
      </c>
      <c r="D18" s="11" t="s">
        <v>36</v>
      </c>
      <c r="E18" s="11" t="s">
        <v>37</v>
      </c>
      <c r="F18" s="11" t="s">
        <v>38</v>
      </c>
      <c r="G18" s="11" t="s">
        <v>39</v>
      </c>
      <c r="H18" s="12">
        <v>1765</v>
      </c>
      <c r="I18" s="13">
        <v>17.649999999999999</v>
      </c>
      <c r="J18" s="13">
        <v>617.75</v>
      </c>
    </row>
    <row r="19" spans="1:10" x14ac:dyDescent="0.2">
      <c r="A19" s="8" t="s">
        <v>23</v>
      </c>
      <c r="B19" s="8" t="s">
        <v>40</v>
      </c>
      <c r="C19" s="8" t="s">
        <v>41</v>
      </c>
      <c r="D19" s="8" t="s">
        <v>36</v>
      </c>
      <c r="E19" s="8" t="s">
        <v>37</v>
      </c>
      <c r="F19" s="8" t="s">
        <v>42</v>
      </c>
      <c r="G19" s="8" t="s">
        <v>43</v>
      </c>
      <c r="H19" s="9">
        <v>189</v>
      </c>
      <c r="I19" s="10">
        <v>56.7</v>
      </c>
      <c r="J19" s="10">
        <v>132.30000000000001</v>
      </c>
    </row>
    <row r="20" spans="1:10" x14ac:dyDescent="0.2">
      <c r="A20" s="11" t="s">
        <v>23</v>
      </c>
      <c r="B20" s="11" t="s">
        <v>44</v>
      </c>
      <c r="C20" s="11" t="s">
        <v>45</v>
      </c>
      <c r="D20" s="11" t="s">
        <v>46</v>
      </c>
      <c r="E20" s="11" t="s">
        <v>47</v>
      </c>
      <c r="F20" s="11" t="s">
        <v>48</v>
      </c>
      <c r="G20" s="11" t="s">
        <v>49</v>
      </c>
      <c r="H20" s="12">
        <v>163</v>
      </c>
      <c r="I20" s="13">
        <v>310</v>
      </c>
      <c r="J20" s="13">
        <v>407.5</v>
      </c>
    </row>
    <row r="21" spans="1:10" x14ac:dyDescent="0.2">
      <c r="A21" s="8" t="s">
        <v>23</v>
      </c>
      <c r="B21" s="8" t="s">
        <v>50</v>
      </c>
      <c r="C21" s="8" t="s">
        <v>51</v>
      </c>
      <c r="D21" s="8" t="s">
        <v>26</v>
      </c>
      <c r="E21" s="8" t="s">
        <v>27</v>
      </c>
      <c r="F21" s="8" t="s">
        <v>28</v>
      </c>
      <c r="G21" s="8" t="s">
        <v>29</v>
      </c>
      <c r="H21" s="9">
        <v>218880</v>
      </c>
      <c r="I21" s="10">
        <v>12449.44</v>
      </c>
      <c r="J21" s="10">
        <v>21888</v>
      </c>
    </row>
    <row r="22" spans="1:10" x14ac:dyDescent="0.2">
      <c r="A22" s="11" t="s">
        <v>23</v>
      </c>
      <c r="B22" s="11" t="s">
        <v>50</v>
      </c>
      <c r="C22" s="11" t="s">
        <v>51</v>
      </c>
      <c r="D22" s="11" t="s">
        <v>26</v>
      </c>
      <c r="E22" s="11" t="s">
        <v>27</v>
      </c>
      <c r="F22" s="11" t="s">
        <v>30</v>
      </c>
      <c r="G22" s="11" t="s">
        <v>31</v>
      </c>
      <c r="H22" s="12">
        <v>45498</v>
      </c>
      <c r="I22" s="13">
        <v>21619.32</v>
      </c>
      <c r="J22" s="13">
        <v>13649.4</v>
      </c>
    </row>
    <row r="23" spans="1:10" x14ac:dyDescent="0.2">
      <c r="A23" s="8" t="s">
        <v>23</v>
      </c>
      <c r="B23" s="8" t="s">
        <v>50</v>
      </c>
      <c r="C23" s="8" t="s">
        <v>51</v>
      </c>
      <c r="D23" s="8" t="s">
        <v>26</v>
      </c>
      <c r="E23" s="8" t="s">
        <v>27</v>
      </c>
      <c r="F23" s="8" t="s">
        <v>52</v>
      </c>
      <c r="G23" s="8" t="s">
        <v>53</v>
      </c>
      <c r="H23" s="9">
        <v>7178</v>
      </c>
      <c r="I23" s="10">
        <v>10014.59</v>
      </c>
      <c r="J23" s="10">
        <v>9331.4</v>
      </c>
    </row>
    <row r="24" spans="1:10" x14ac:dyDescent="0.2">
      <c r="A24" s="11" t="s">
        <v>23</v>
      </c>
      <c r="B24" s="11" t="s">
        <v>50</v>
      </c>
      <c r="C24" s="11" t="s">
        <v>51</v>
      </c>
      <c r="D24" s="11" t="s">
        <v>26</v>
      </c>
      <c r="E24" s="11" t="s">
        <v>27</v>
      </c>
      <c r="F24" s="11" t="s">
        <v>32</v>
      </c>
      <c r="G24" s="11" t="s">
        <v>33</v>
      </c>
      <c r="H24" s="12">
        <v>2590</v>
      </c>
      <c r="I24" s="13">
        <v>6803.15</v>
      </c>
      <c r="J24" s="13">
        <v>6734</v>
      </c>
    </row>
    <row r="25" spans="1:10" x14ac:dyDescent="0.2">
      <c r="A25" s="8" t="s">
        <v>23</v>
      </c>
      <c r="B25" s="8" t="s">
        <v>50</v>
      </c>
      <c r="C25" s="8" t="s">
        <v>51</v>
      </c>
      <c r="D25" s="8" t="s">
        <v>26</v>
      </c>
      <c r="E25" s="8" t="s">
        <v>27</v>
      </c>
      <c r="F25" s="8" t="s">
        <v>34</v>
      </c>
      <c r="G25" s="8" t="s">
        <v>35</v>
      </c>
      <c r="H25" s="9">
        <v>764</v>
      </c>
      <c r="I25" s="10">
        <v>4382.7</v>
      </c>
      <c r="J25" s="10">
        <v>4966</v>
      </c>
    </row>
    <row r="26" spans="1:10" x14ac:dyDescent="0.2">
      <c r="A26" s="8" t="s">
        <v>23</v>
      </c>
      <c r="B26" s="8" t="s">
        <v>54</v>
      </c>
      <c r="C26" s="8" t="s">
        <v>55</v>
      </c>
      <c r="D26" s="8" t="s">
        <v>56</v>
      </c>
      <c r="E26" s="8" t="s">
        <v>57</v>
      </c>
      <c r="F26" s="8" t="s">
        <v>58</v>
      </c>
      <c r="G26" s="8" t="s">
        <v>59</v>
      </c>
      <c r="H26" s="9">
        <v>697</v>
      </c>
      <c r="I26" s="10">
        <v>30156</v>
      </c>
      <c r="J26" s="10">
        <v>38335</v>
      </c>
    </row>
    <row r="27" spans="1:10" x14ac:dyDescent="0.2">
      <c r="A27" s="11" t="s">
        <v>60</v>
      </c>
      <c r="B27" s="11" t="s">
        <v>61</v>
      </c>
      <c r="C27" s="11" t="s">
        <v>62</v>
      </c>
      <c r="D27" s="11" t="s">
        <v>56</v>
      </c>
      <c r="E27" s="11" t="s">
        <v>57</v>
      </c>
      <c r="F27" s="11" t="s">
        <v>58</v>
      </c>
      <c r="G27" s="11" t="s">
        <v>59</v>
      </c>
      <c r="H27" s="12">
        <v>3</v>
      </c>
      <c r="I27" s="13">
        <v>16</v>
      </c>
      <c r="J27" s="13">
        <v>165</v>
      </c>
    </row>
    <row r="28" spans="1:10" x14ac:dyDescent="0.2">
      <c r="A28" s="11" t="s">
        <v>23</v>
      </c>
      <c r="B28" s="11" t="s">
        <v>54</v>
      </c>
      <c r="C28" s="11" t="s">
        <v>55</v>
      </c>
      <c r="D28" s="11" t="s">
        <v>56</v>
      </c>
      <c r="E28" s="11" t="s">
        <v>57</v>
      </c>
      <c r="F28" s="11" t="s">
        <v>63</v>
      </c>
      <c r="G28" s="11" t="s">
        <v>64</v>
      </c>
      <c r="H28" s="12">
        <v>4478</v>
      </c>
      <c r="I28" s="13">
        <v>140938.67000000001</v>
      </c>
      <c r="J28" s="13">
        <v>179120</v>
      </c>
    </row>
    <row r="29" spans="1:10" x14ac:dyDescent="0.2">
      <c r="A29" s="11" t="s">
        <v>23</v>
      </c>
      <c r="B29" s="11" t="s">
        <v>54</v>
      </c>
      <c r="C29" s="11" t="s">
        <v>55</v>
      </c>
      <c r="D29" s="11" t="s">
        <v>56</v>
      </c>
      <c r="E29" s="11" t="s">
        <v>57</v>
      </c>
      <c r="F29" s="11" t="s">
        <v>65</v>
      </c>
      <c r="G29" s="11" t="s">
        <v>66</v>
      </c>
      <c r="H29" s="12">
        <v>1419</v>
      </c>
      <c r="I29" s="13">
        <v>14126.34</v>
      </c>
      <c r="J29" s="13">
        <v>21285</v>
      </c>
    </row>
    <row r="30" spans="1:10" x14ac:dyDescent="0.2">
      <c r="A30" s="11" t="s">
        <v>23</v>
      </c>
      <c r="B30" s="11" t="s">
        <v>54</v>
      </c>
      <c r="C30" s="11" t="s">
        <v>55</v>
      </c>
      <c r="D30" s="11" t="s">
        <v>56</v>
      </c>
      <c r="E30" s="11" t="s">
        <v>57</v>
      </c>
      <c r="F30" s="11" t="s">
        <v>67</v>
      </c>
      <c r="G30" s="11" t="s">
        <v>68</v>
      </c>
      <c r="H30" s="12">
        <v>5633</v>
      </c>
      <c r="I30" s="13">
        <v>200554.9</v>
      </c>
      <c r="J30" s="13">
        <v>281650</v>
      </c>
    </row>
    <row r="31" spans="1:10" x14ac:dyDescent="0.2">
      <c r="A31" s="11" t="s">
        <v>23</v>
      </c>
      <c r="B31" s="11" t="s">
        <v>54</v>
      </c>
      <c r="C31" s="11" t="s">
        <v>55</v>
      </c>
      <c r="D31" s="11" t="s">
        <v>56</v>
      </c>
      <c r="E31" s="11" t="s">
        <v>57</v>
      </c>
      <c r="F31" s="11" t="s">
        <v>69</v>
      </c>
      <c r="G31" s="11" t="s">
        <v>70</v>
      </c>
      <c r="H31" s="12">
        <v>15252</v>
      </c>
      <c r="I31" s="13">
        <v>978786.4</v>
      </c>
      <c r="J31" s="13">
        <v>1296420</v>
      </c>
    </row>
    <row r="32" spans="1:10" x14ac:dyDescent="0.2">
      <c r="A32" s="8" t="s">
        <v>60</v>
      </c>
      <c r="B32" s="8" t="s">
        <v>61</v>
      </c>
      <c r="C32" s="8" t="s">
        <v>62</v>
      </c>
      <c r="D32" s="8" t="s">
        <v>56</v>
      </c>
      <c r="E32" s="8" t="s">
        <v>57</v>
      </c>
      <c r="F32" s="8" t="s">
        <v>69</v>
      </c>
      <c r="G32" s="8" t="s">
        <v>70</v>
      </c>
      <c r="H32" s="9">
        <v>3</v>
      </c>
      <c r="I32" s="10">
        <v>20</v>
      </c>
      <c r="J32" s="10">
        <v>252</v>
      </c>
    </row>
    <row r="33" spans="1:10" x14ac:dyDescent="0.2">
      <c r="A33" s="8" t="s">
        <v>23</v>
      </c>
      <c r="B33" s="8" t="s">
        <v>54</v>
      </c>
      <c r="C33" s="8" t="s">
        <v>55</v>
      </c>
      <c r="D33" s="8" t="s">
        <v>56</v>
      </c>
      <c r="E33" s="8" t="s">
        <v>57</v>
      </c>
      <c r="F33" s="8" t="s">
        <v>71</v>
      </c>
      <c r="G33" s="8" t="s">
        <v>72</v>
      </c>
      <c r="H33" s="9">
        <v>3027</v>
      </c>
      <c r="I33" s="10">
        <v>141329.91</v>
      </c>
      <c r="J33" s="10">
        <v>196755</v>
      </c>
    </row>
    <row r="34" spans="1:10" x14ac:dyDescent="0.2">
      <c r="A34" s="8" t="s">
        <v>23</v>
      </c>
      <c r="B34" s="8" t="s">
        <v>54</v>
      </c>
      <c r="C34" s="8" t="s">
        <v>55</v>
      </c>
      <c r="D34" s="8" t="s">
        <v>56</v>
      </c>
      <c r="E34" s="8" t="s">
        <v>57</v>
      </c>
      <c r="F34" s="8" t="s">
        <v>73</v>
      </c>
      <c r="G34" s="8" t="s">
        <v>74</v>
      </c>
      <c r="H34" s="9">
        <v>2621</v>
      </c>
      <c r="I34" s="10">
        <v>18303.43</v>
      </c>
      <c r="J34" s="10">
        <v>36694</v>
      </c>
    </row>
    <row r="35" spans="1:10" x14ac:dyDescent="0.2">
      <c r="A35" s="8" t="s">
        <v>23</v>
      </c>
      <c r="B35" s="8" t="s">
        <v>54</v>
      </c>
      <c r="C35" s="8" t="s">
        <v>55</v>
      </c>
      <c r="D35" s="8" t="s">
        <v>26</v>
      </c>
      <c r="E35" s="8" t="s">
        <v>27</v>
      </c>
      <c r="F35" s="8" t="s">
        <v>75</v>
      </c>
      <c r="G35" s="8" t="s">
        <v>76</v>
      </c>
      <c r="H35" s="9">
        <v>1608</v>
      </c>
      <c r="I35" s="10">
        <v>18253.2</v>
      </c>
      <c r="J35" s="10">
        <v>24120</v>
      </c>
    </row>
    <row r="36" spans="1:10" x14ac:dyDescent="0.2">
      <c r="A36" s="11" t="s">
        <v>23</v>
      </c>
      <c r="B36" s="11" t="s">
        <v>54</v>
      </c>
      <c r="C36" s="11" t="s">
        <v>55</v>
      </c>
      <c r="D36" s="11" t="s">
        <v>26</v>
      </c>
      <c r="E36" s="11" t="s">
        <v>27</v>
      </c>
      <c r="F36" s="11" t="s">
        <v>77</v>
      </c>
      <c r="G36" s="11" t="s">
        <v>78</v>
      </c>
      <c r="H36" s="12">
        <v>504</v>
      </c>
      <c r="I36" s="13">
        <v>2954.18</v>
      </c>
      <c r="J36" s="13">
        <v>4536</v>
      </c>
    </row>
    <row r="37" spans="1:10" x14ac:dyDescent="0.2">
      <c r="A37" s="8" t="s">
        <v>23</v>
      </c>
      <c r="B37" s="8" t="s">
        <v>54</v>
      </c>
      <c r="C37" s="8" t="s">
        <v>55</v>
      </c>
      <c r="D37" s="8" t="s">
        <v>26</v>
      </c>
      <c r="E37" s="8" t="s">
        <v>27</v>
      </c>
      <c r="F37" s="8" t="s">
        <v>79</v>
      </c>
      <c r="G37" s="8" t="s">
        <v>80</v>
      </c>
      <c r="H37" s="9">
        <v>961</v>
      </c>
      <c r="I37" s="10">
        <v>2877.78</v>
      </c>
      <c r="J37" s="10">
        <v>3844</v>
      </c>
    </row>
    <row r="38" spans="1:10" x14ac:dyDescent="0.2">
      <c r="A38" s="11" t="s">
        <v>23</v>
      </c>
      <c r="B38" s="11" t="s">
        <v>54</v>
      </c>
      <c r="C38" s="11" t="s">
        <v>55</v>
      </c>
      <c r="D38" s="11" t="s">
        <v>26</v>
      </c>
      <c r="E38" s="11" t="s">
        <v>27</v>
      </c>
      <c r="F38" s="11" t="s">
        <v>30</v>
      </c>
      <c r="G38" s="11" t="s">
        <v>31</v>
      </c>
      <c r="H38" s="12">
        <v>74</v>
      </c>
      <c r="I38" s="13">
        <v>61.53</v>
      </c>
      <c r="J38" s="13">
        <v>22.2</v>
      </c>
    </row>
    <row r="39" spans="1:10" x14ac:dyDescent="0.2">
      <c r="A39" s="8" t="s">
        <v>23</v>
      </c>
      <c r="B39" s="8" t="s">
        <v>54</v>
      </c>
      <c r="C39" s="8" t="s">
        <v>55</v>
      </c>
      <c r="D39" s="8" t="s">
        <v>26</v>
      </c>
      <c r="E39" s="8" t="s">
        <v>27</v>
      </c>
      <c r="F39" s="8" t="s">
        <v>52</v>
      </c>
      <c r="G39" s="8" t="s">
        <v>53</v>
      </c>
      <c r="H39" s="9">
        <v>2396</v>
      </c>
      <c r="I39" s="10">
        <v>2967.86</v>
      </c>
      <c r="J39" s="10">
        <v>3114.8</v>
      </c>
    </row>
    <row r="40" spans="1:10" x14ac:dyDescent="0.2">
      <c r="A40" s="11" t="s">
        <v>23</v>
      </c>
      <c r="B40" s="11" t="s">
        <v>54</v>
      </c>
      <c r="C40" s="11" t="s">
        <v>55</v>
      </c>
      <c r="D40" s="11" t="s">
        <v>26</v>
      </c>
      <c r="E40" s="11" t="s">
        <v>27</v>
      </c>
      <c r="F40" s="11" t="s">
        <v>32</v>
      </c>
      <c r="G40" s="11" t="s">
        <v>33</v>
      </c>
      <c r="H40" s="12">
        <v>706</v>
      </c>
      <c r="I40" s="13">
        <v>2326.5300000000002</v>
      </c>
      <c r="J40" s="13">
        <v>1835.6</v>
      </c>
    </row>
    <row r="41" spans="1:10" x14ac:dyDescent="0.2">
      <c r="A41" s="11" t="s">
        <v>60</v>
      </c>
      <c r="B41" s="11" t="s">
        <v>81</v>
      </c>
      <c r="C41" s="11" t="s">
        <v>82</v>
      </c>
      <c r="D41" s="11" t="s">
        <v>56</v>
      </c>
      <c r="E41" s="11" t="s">
        <v>57</v>
      </c>
      <c r="F41" s="11" t="s">
        <v>83</v>
      </c>
      <c r="G41" s="11" t="s">
        <v>84</v>
      </c>
      <c r="H41" s="12">
        <v>15</v>
      </c>
      <c r="I41" s="13">
        <v>675</v>
      </c>
      <c r="J41" s="13">
        <v>510</v>
      </c>
    </row>
    <row r="42" spans="1:10" x14ac:dyDescent="0.2">
      <c r="A42" s="11" t="s">
        <v>23</v>
      </c>
      <c r="B42" s="11" t="s">
        <v>85</v>
      </c>
      <c r="C42" s="11" t="s">
        <v>86</v>
      </c>
      <c r="D42" s="11" t="s">
        <v>26</v>
      </c>
      <c r="E42" s="11" t="s">
        <v>27</v>
      </c>
      <c r="F42" s="11" t="s">
        <v>32</v>
      </c>
      <c r="G42" s="11" t="s">
        <v>33</v>
      </c>
      <c r="H42" s="12">
        <v>2</v>
      </c>
      <c r="I42" s="13">
        <v>7.3</v>
      </c>
      <c r="J42" s="13">
        <v>5.2</v>
      </c>
    </row>
    <row r="43" spans="1:10" x14ac:dyDescent="0.2">
      <c r="A43" s="8" t="s">
        <v>23</v>
      </c>
      <c r="B43" s="8" t="s">
        <v>85</v>
      </c>
      <c r="C43" s="8" t="s">
        <v>86</v>
      </c>
      <c r="D43" s="8" t="s">
        <v>26</v>
      </c>
      <c r="E43" s="8" t="s">
        <v>27</v>
      </c>
      <c r="F43" s="8" t="s">
        <v>34</v>
      </c>
      <c r="G43" s="8" t="s">
        <v>35</v>
      </c>
      <c r="H43" s="9">
        <v>11</v>
      </c>
      <c r="I43" s="10">
        <v>188</v>
      </c>
      <c r="J43" s="10">
        <v>71.5</v>
      </c>
    </row>
    <row r="44" spans="1:10" x14ac:dyDescent="0.2">
      <c r="A44" s="11" t="s">
        <v>23</v>
      </c>
      <c r="B44" s="11" t="s">
        <v>85</v>
      </c>
      <c r="C44" s="11" t="s">
        <v>86</v>
      </c>
      <c r="D44" s="11" t="s">
        <v>26</v>
      </c>
      <c r="E44" s="11" t="s">
        <v>27</v>
      </c>
      <c r="F44" s="11" t="s">
        <v>87</v>
      </c>
      <c r="G44" s="11" t="s">
        <v>88</v>
      </c>
      <c r="H44" s="12">
        <v>1</v>
      </c>
      <c r="I44" s="13">
        <v>39</v>
      </c>
      <c r="J44" s="13">
        <v>50.7</v>
      </c>
    </row>
    <row r="45" spans="1:10" x14ac:dyDescent="0.2">
      <c r="A45" s="8" t="s">
        <v>23</v>
      </c>
      <c r="B45" s="8" t="s">
        <v>81</v>
      </c>
      <c r="C45" s="8" t="s">
        <v>82</v>
      </c>
      <c r="D45" s="8" t="s">
        <v>89</v>
      </c>
      <c r="E45" s="8" t="s">
        <v>90</v>
      </c>
      <c r="F45" s="8" t="s">
        <v>89</v>
      </c>
      <c r="G45" s="8" t="s">
        <v>91</v>
      </c>
      <c r="H45" s="9">
        <v>600</v>
      </c>
      <c r="I45" s="10">
        <v>12600</v>
      </c>
      <c r="J45" s="10">
        <v>11340</v>
      </c>
    </row>
    <row r="46" spans="1:10" x14ac:dyDescent="0.2">
      <c r="A46" s="8" t="s">
        <v>92</v>
      </c>
      <c r="B46" s="8" t="s">
        <v>44</v>
      </c>
      <c r="C46" s="8" t="s">
        <v>45</v>
      </c>
      <c r="D46" s="8" t="s">
        <v>56</v>
      </c>
      <c r="E46" s="8" t="s">
        <v>57</v>
      </c>
      <c r="F46" s="8" t="s">
        <v>93</v>
      </c>
      <c r="G46" s="8" t="s">
        <v>94</v>
      </c>
      <c r="H46" s="9">
        <v>4</v>
      </c>
      <c r="I46" s="10">
        <v>72</v>
      </c>
      <c r="J46" s="10">
        <v>60</v>
      </c>
    </row>
    <row r="47" spans="1:10" x14ac:dyDescent="0.2">
      <c r="A47" s="8" t="s">
        <v>23</v>
      </c>
      <c r="B47" s="8" t="s">
        <v>95</v>
      </c>
      <c r="C47" s="8" t="s">
        <v>96</v>
      </c>
      <c r="D47" s="8" t="s">
        <v>56</v>
      </c>
      <c r="E47" s="8" t="s">
        <v>57</v>
      </c>
      <c r="F47" s="8" t="s">
        <v>97</v>
      </c>
      <c r="G47" s="8" t="s">
        <v>98</v>
      </c>
      <c r="H47" s="9">
        <v>214</v>
      </c>
      <c r="I47" s="10">
        <v>13915.7</v>
      </c>
      <c r="J47" s="10">
        <v>13910</v>
      </c>
    </row>
    <row r="48" spans="1:10" x14ac:dyDescent="0.2">
      <c r="A48" s="11" t="s">
        <v>23</v>
      </c>
      <c r="B48" s="11" t="s">
        <v>99</v>
      </c>
      <c r="C48" s="11" t="s">
        <v>100</v>
      </c>
      <c r="D48" s="11" t="s">
        <v>89</v>
      </c>
      <c r="E48" s="11" t="s">
        <v>90</v>
      </c>
      <c r="F48" s="11" t="s">
        <v>89</v>
      </c>
      <c r="G48" s="11" t="s">
        <v>91</v>
      </c>
      <c r="H48" s="12">
        <v>331920</v>
      </c>
      <c r="I48" s="13">
        <v>10787400</v>
      </c>
      <c r="J48" s="13">
        <v>9708660</v>
      </c>
    </row>
    <row r="49" spans="1:10" x14ac:dyDescent="0.2">
      <c r="A49" s="8" t="s">
        <v>23</v>
      </c>
      <c r="B49" s="8" t="s">
        <v>101</v>
      </c>
      <c r="C49" s="8" t="s">
        <v>102</v>
      </c>
      <c r="D49" s="8" t="s">
        <v>26</v>
      </c>
      <c r="E49" s="8" t="s">
        <v>27</v>
      </c>
      <c r="F49" s="8" t="s">
        <v>32</v>
      </c>
      <c r="G49" s="8" t="s">
        <v>33</v>
      </c>
      <c r="H49" s="9">
        <v>1</v>
      </c>
      <c r="I49" s="10">
        <v>3</v>
      </c>
      <c r="J49" s="10">
        <v>2.6</v>
      </c>
    </row>
    <row r="50" spans="1:10" x14ac:dyDescent="0.2">
      <c r="A50" s="11" t="s">
        <v>23</v>
      </c>
      <c r="B50" s="11" t="s">
        <v>101</v>
      </c>
      <c r="C50" s="11" t="s">
        <v>102</v>
      </c>
      <c r="D50" s="11" t="s">
        <v>26</v>
      </c>
      <c r="E50" s="11" t="s">
        <v>27</v>
      </c>
      <c r="F50" s="11" t="s">
        <v>34</v>
      </c>
      <c r="G50" s="11" t="s">
        <v>35</v>
      </c>
      <c r="H50" s="12">
        <v>2</v>
      </c>
      <c r="I50" s="13">
        <v>14.55</v>
      </c>
      <c r="J50" s="13">
        <v>13</v>
      </c>
    </row>
    <row r="51" spans="1:10" x14ac:dyDescent="0.2">
      <c r="A51" s="8" t="s">
        <v>60</v>
      </c>
      <c r="B51" s="8" t="s">
        <v>24</v>
      </c>
      <c r="C51" s="8" t="s">
        <v>25</v>
      </c>
      <c r="D51" s="8" t="s">
        <v>36</v>
      </c>
      <c r="E51" s="8" t="s">
        <v>37</v>
      </c>
      <c r="F51" s="8" t="s">
        <v>38</v>
      </c>
      <c r="G51" s="8" t="s">
        <v>39</v>
      </c>
      <c r="H51" s="9">
        <v>22</v>
      </c>
      <c r="I51" s="10">
        <v>8</v>
      </c>
      <c r="J51" s="10">
        <v>7.7</v>
      </c>
    </row>
    <row r="52" spans="1:10" x14ac:dyDescent="0.2">
      <c r="A52" s="11" t="s">
        <v>60</v>
      </c>
      <c r="B52" s="11" t="s">
        <v>24</v>
      </c>
      <c r="C52" s="11" t="s">
        <v>25</v>
      </c>
      <c r="D52" s="11" t="s">
        <v>26</v>
      </c>
      <c r="E52" s="11" t="s">
        <v>27</v>
      </c>
      <c r="F52" s="11" t="s">
        <v>28</v>
      </c>
      <c r="G52" s="11" t="s">
        <v>29</v>
      </c>
      <c r="H52" s="12">
        <v>222</v>
      </c>
      <c r="I52" s="13">
        <v>39</v>
      </c>
      <c r="J52" s="13">
        <v>22.2</v>
      </c>
    </row>
    <row r="53" spans="1:10" x14ac:dyDescent="0.2">
      <c r="A53" s="8" t="s">
        <v>60</v>
      </c>
      <c r="B53" s="8" t="s">
        <v>24</v>
      </c>
      <c r="C53" s="8" t="s">
        <v>25</v>
      </c>
      <c r="D53" s="8" t="s">
        <v>26</v>
      </c>
      <c r="E53" s="8" t="s">
        <v>27</v>
      </c>
      <c r="F53" s="8" t="s">
        <v>30</v>
      </c>
      <c r="G53" s="8" t="s">
        <v>31</v>
      </c>
      <c r="H53" s="9">
        <v>196</v>
      </c>
      <c r="I53" s="10">
        <v>88</v>
      </c>
      <c r="J53" s="10">
        <v>29.4</v>
      </c>
    </row>
    <row r="54" spans="1:10" x14ac:dyDescent="0.2">
      <c r="A54" s="11" t="s">
        <v>60</v>
      </c>
      <c r="B54" s="11" t="s">
        <v>101</v>
      </c>
      <c r="C54" s="11" t="s">
        <v>102</v>
      </c>
      <c r="D54" s="11" t="s">
        <v>26</v>
      </c>
      <c r="E54" s="11" t="s">
        <v>27</v>
      </c>
      <c r="F54" s="11" t="s">
        <v>52</v>
      </c>
      <c r="G54" s="11" t="s">
        <v>53</v>
      </c>
      <c r="H54" s="12">
        <v>2</v>
      </c>
      <c r="I54" s="13">
        <v>4</v>
      </c>
      <c r="J54" s="13">
        <v>1.5</v>
      </c>
    </row>
    <row r="55" spans="1:10" x14ac:dyDescent="0.2">
      <c r="A55" s="8" t="s">
        <v>60</v>
      </c>
      <c r="B55" s="8" t="s">
        <v>101</v>
      </c>
      <c r="C55" s="8" t="s">
        <v>102</v>
      </c>
      <c r="D55" s="8" t="s">
        <v>26</v>
      </c>
      <c r="E55" s="8" t="s">
        <v>27</v>
      </c>
      <c r="F55" s="8" t="s">
        <v>32</v>
      </c>
      <c r="G55" s="8" t="s">
        <v>33</v>
      </c>
      <c r="H55" s="9">
        <v>2</v>
      </c>
      <c r="I55" s="10">
        <v>6</v>
      </c>
      <c r="J55" s="10">
        <v>5.2</v>
      </c>
    </row>
    <row r="56" spans="1:10" x14ac:dyDescent="0.2">
      <c r="A56" s="11" t="s">
        <v>60</v>
      </c>
      <c r="B56" s="11" t="s">
        <v>101</v>
      </c>
      <c r="C56" s="11" t="s">
        <v>102</v>
      </c>
      <c r="D56" s="11" t="s">
        <v>26</v>
      </c>
      <c r="E56" s="11" t="s">
        <v>27</v>
      </c>
      <c r="F56" s="11" t="s">
        <v>34</v>
      </c>
      <c r="G56" s="11" t="s">
        <v>35</v>
      </c>
      <c r="H56" s="12">
        <v>1</v>
      </c>
      <c r="I56" s="13">
        <v>14</v>
      </c>
      <c r="J56" s="13">
        <v>6.5</v>
      </c>
    </row>
    <row r="57" spans="1:10" x14ac:dyDescent="0.2">
      <c r="A57" s="11" t="s">
        <v>60</v>
      </c>
      <c r="B57" s="11" t="s">
        <v>95</v>
      </c>
      <c r="C57" s="11" t="s">
        <v>96</v>
      </c>
      <c r="D57" s="11" t="s">
        <v>56</v>
      </c>
      <c r="E57" s="11" t="s">
        <v>57</v>
      </c>
      <c r="F57" s="11" t="s">
        <v>97</v>
      </c>
      <c r="G57" s="11" t="s">
        <v>98</v>
      </c>
      <c r="H57" s="12">
        <v>40</v>
      </c>
      <c r="I57" s="13">
        <v>3482.4</v>
      </c>
      <c r="J57" s="13">
        <v>2600</v>
      </c>
    </row>
    <row r="58" spans="1:10" x14ac:dyDescent="0.2">
      <c r="A58" s="8" t="s">
        <v>60</v>
      </c>
      <c r="B58" s="8" t="s">
        <v>85</v>
      </c>
      <c r="C58" s="8" t="s">
        <v>86</v>
      </c>
      <c r="D58" s="8" t="s">
        <v>56</v>
      </c>
      <c r="E58" s="8" t="s">
        <v>57</v>
      </c>
      <c r="F58" s="8" t="s">
        <v>97</v>
      </c>
      <c r="G58" s="8" t="s">
        <v>98</v>
      </c>
      <c r="H58" s="9">
        <v>2</v>
      </c>
      <c r="I58" s="10">
        <v>117</v>
      </c>
      <c r="J58" s="10">
        <v>130</v>
      </c>
    </row>
    <row r="59" spans="1:10" x14ac:dyDescent="0.2">
      <c r="A59" s="8" t="s">
        <v>103</v>
      </c>
      <c r="B59" s="8" t="s">
        <v>95</v>
      </c>
      <c r="C59" s="8" t="s">
        <v>96</v>
      </c>
      <c r="D59" s="8" t="s">
        <v>56</v>
      </c>
      <c r="E59" s="8" t="s">
        <v>57</v>
      </c>
      <c r="F59" s="8" t="s">
        <v>97</v>
      </c>
      <c r="G59" s="8" t="s">
        <v>98</v>
      </c>
      <c r="H59" s="9">
        <v>121</v>
      </c>
      <c r="I59" s="10">
        <v>10371.5</v>
      </c>
      <c r="J59" s="10">
        <v>7865</v>
      </c>
    </row>
    <row r="60" spans="1:10" x14ac:dyDescent="0.2">
      <c r="A60" s="8" t="s">
        <v>92</v>
      </c>
      <c r="B60" s="8" t="s">
        <v>104</v>
      </c>
      <c r="C60" s="8" t="s">
        <v>105</v>
      </c>
      <c r="D60" s="8" t="s">
        <v>56</v>
      </c>
      <c r="E60" s="8" t="s">
        <v>57</v>
      </c>
      <c r="F60" s="8" t="s">
        <v>97</v>
      </c>
      <c r="G60" s="8" t="s">
        <v>98</v>
      </c>
      <c r="H60" s="9">
        <v>64</v>
      </c>
      <c r="I60" s="10">
        <v>6136</v>
      </c>
      <c r="J60" s="10">
        <v>4160</v>
      </c>
    </row>
    <row r="61" spans="1:10" x14ac:dyDescent="0.2">
      <c r="A61" s="11" t="s">
        <v>92</v>
      </c>
      <c r="B61" s="11" t="s">
        <v>85</v>
      </c>
      <c r="C61" s="11" t="s">
        <v>86</v>
      </c>
      <c r="D61" s="11" t="s">
        <v>56</v>
      </c>
      <c r="E61" s="11" t="s">
        <v>57</v>
      </c>
      <c r="F61" s="11" t="s">
        <v>97</v>
      </c>
      <c r="G61" s="11" t="s">
        <v>98</v>
      </c>
      <c r="H61" s="12">
        <v>2</v>
      </c>
      <c r="I61" s="13">
        <v>147</v>
      </c>
      <c r="J61" s="13">
        <v>130</v>
      </c>
    </row>
    <row r="62" spans="1:10" x14ac:dyDescent="0.2">
      <c r="A62" s="11" t="s">
        <v>106</v>
      </c>
      <c r="B62" s="11" t="s">
        <v>85</v>
      </c>
      <c r="C62" s="11" t="s">
        <v>86</v>
      </c>
      <c r="D62" s="11" t="s">
        <v>56</v>
      </c>
      <c r="E62" s="11" t="s">
        <v>57</v>
      </c>
      <c r="F62" s="11" t="s">
        <v>97</v>
      </c>
      <c r="G62" s="11" t="s">
        <v>98</v>
      </c>
      <c r="H62" s="12">
        <v>1</v>
      </c>
      <c r="I62" s="13">
        <v>94</v>
      </c>
      <c r="J62" s="13">
        <v>65</v>
      </c>
    </row>
    <row r="63" spans="1:10" x14ac:dyDescent="0.2">
      <c r="A63" s="8" t="s">
        <v>23</v>
      </c>
      <c r="B63" s="8" t="s">
        <v>54</v>
      </c>
      <c r="C63" s="8" t="s">
        <v>55</v>
      </c>
      <c r="D63" s="8" t="s">
        <v>56</v>
      </c>
      <c r="E63" s="8" t="s">
        <v>57</v>
      </c>
      <c r="F63" s="8" t="s">
        <v>107</v>
      </c>
      <c r="G63" s="8" t="s">
        <v>108</v>
      </c>
      <c r="H63" s="9">
        <v>1787</v>
      </c>
      <c r="I63" s="10">
        <v>10895.49</v>
      </c>
      <c r="J63" s="10">
        <v>11615.5</v>
      </c>
    </row>
    <row r="64" spans="1:10" x14ac:dyDescent="0.2">
      <c r="A64" s="8" t="s">
        <v>60</v>
      </c>
      <c r="B64" s="8" t="s">
        <v>85</v>
      </c>
      <c r="C64" s="8" t="s">
        <v>86</v>
      </c>
      <c r="D64" s="8" t="s">
        <v>56</v>
      </c>
      <c r="E64" s="8" t="s">
        <v>57</v>
      </c>
      <c r="F64" s="8" t="s">
        <v>107</v>
      </c>
      <c r="G64" s="8" t="s">
        <v>108</v>
      </c>
      <c r="H64" s="9">
        <v>2</v>
      </c>
      <c r="I64" s="10">
        <v>13</v>
      </c>
      <c r="J64" s="10">
        <v>13</v>
      </c>
    </row>
    <row r="65" spans="1:10" x14ac:dyDescent="0.2">
      <c r="A65" s="8" t="s">
        <v>60</v>
      </c>
      <c r="B65" s="8" t="s">
        <v>109</v>
      </c>
      <c r="C65" s="8" t="s">
        <v>110</v>
      </c>
      <c r="D65" s="8" t="s">
        <v>89</v>
      </c>
      <c r="E65" s="8" t="s">
        <v>90</v>
      </c>
      <c r="F65" s="8" t="s">
        <v>89</v>
      </c>
      <c r="G65" s="8" t="s">
        <v>91</v>
      </c>
      <c r="H65" s="9">
        <v>261</v>
      </c>
      <c r="I65" s="10">
        <v>261</v>
      </c>
      <c r="J65" s="10">
        <v>234.9</v>
      </c>
    </row>
    <row r="66" spans="1:10" x14ac:dyDescent="0.2">
      <c r="A66" s="11" t="s">
        <v>60</v>
      </c>
      <c r="B66" s="11" t="s">
        <v>109</v>
      </c>
      <c r="C66" s="11" t="s">
        <v>110</v>
      </c>
      <c r="D66" s="11" t="s">
        <v>26</v>
      </c>
      <c r="E66" s="11" t="s">
        <v>27</v>
      </c>
      <c r="F66" s="11" t="s">
        <v>30</v>
      </c>
      <c r="G66" s="11" t="s">
        <v>31</v>
      </c>
      <c r="H66" s="12">
        <v>3</v>
      </c>
      <c r="I66" s="13">
        <v>3</v>
      </c>
      <c r="J66" s="13">
        <v>0.45</v>
      </c>
    </row>
    <row r="67" spans="1:10" x14ac:dyDescent="0.2">
      <c r="A67" s="8" t="s">
        <v>60</v>
      </c>
      <c r="B67" s="8" t="s">
        <v>109</v>
      </c>
      <c r="C67" s="8" t="s">
        <v>110</v>
      </c>
      <c r="D67" s="8" t="s">
        <v>26</v>
      </c>
      <c r="E67" s="8" t="s">
        <v>27</v>
      </c>
      <c r="F67" s="8" t="s">
        <v>52</v>
      </c>
      <c r="G67" s="8" t="s">
        <v>53</v>
      </c>
      <c r="H67" s="9">
        <v>1554</v>
      </c>
      <c r="I67" s="10">
        <v>3108</v>
      </c>
      <c r="J67" s="10">
        <v>1165.5</v>
      </c>
    </row>
    <row r="68" spans="1:10" x14ac:dyDescent="0.2">
      <c r="A68" s="11" t="s">
        <v>60</v>
      </c>
      <c r="B68" s="11" t="s">
        <v>109</v>
      </c>
      <c r="C68" s="11" t="s">
        <v>110</v>
      </c>
      <c r="D68" s="11" t="s">
        <v>26</v>
      </c>
      <c r="E68" s="11" t="s">
        <v>27</v>
      </c>
      <c r="F68" s="11" t="s">
        <v>32</v>
      </c>
      <c r="G68" s="11" t="s">
        <v>33</v>
      </c>
      <c r="H68" s="12">
        <v>1612</v>
      </c>
      <c r="I68" s="13">
        <v>5239</v>
      </c>
      <c r="J68" s="13">
        <v>4191.2</v>
      </c>
    </row>
    <row r="69" spans="1:10" x14ac:dyDescent="0.2">
      <c r="A69" s="8" t="s">
        <v>60</v>
      </c>
      <c r="B69" s="8" t="s">
        <v>109</v>
      </c>
      <c r="C69" s="8" t="s">
        <v>110</v>
      </c>
      <c r="D69" s="8" t="s">
        <v>26</v>
      </c>
      <c r="E69" s="8" t="s">
        <v>27</v>
      </c>
      <c r="F69" s="8" t="s">
        <v>34</v>
      </c>
      <c r="G69" s="8" t="s">
        <v>35</v>
      </c>
      <c r="H69" s="9">
        <v>2566</v>
      </c>
      <c r="I69" s="10">
        <v>16037.5</v>
      </c>
      <c r="J69" s="10">
        <v>16679</v>
      </c>
    </row>
    <row r="70" spans="1:10" x14ac:dyDescent="0.2">
      <c r="A70" s="11" t="s">
        <v>60</v>
      </c>
      <c r="B70" s="11" t="s">
        <v>109</v>
      </c>
      <c r="C70" s="11" t="s">
        <v>110</v>
      </c>
      <c r="D70" s="11" t="s">
        <v>111</v>
      </c>
      <c r="E70" s="11" t="s">
        <v>112</v>
      </c>
      <c r="F70" s="11" t="s">
        <v>113</v>
      </c>
      <c r="G70" s="11" t="s">
        <v>114</v>
      </c>
      <c r="H70" s="12">
        <v>28840</v>
      </c>
      <c r="I70" s="13">
        <v>7786.8</v>
      </c>
      <c r="J70" s="13">
        <v>2884</v>
      </c>
    </row>
    <row r="71" spans="1:10" x14ac:dyDescent="0.2">
      <c r="A71" s="8" t="s">
        <v>60</v>
      </c>
      <c r="B71" s="8" t="s">
        <v>109</v>
      </c>
      <c r="C71" s="8" t="s">
        <v>110</v>
      </c>
      <c r="D71" s="8" t="s">
        <v>111</v>
      </c>
      <c r="E71" s="8" t="s">
        <v>112</v>
      </c>
      <c r="F71" s="8" t="s">
        <v>115</v>
      </c>
      <c r="G71" s="8" t="s">
        <v>116</v>
      </c>
      <c r="H71" s="9">
        <v>894</v>
      </c>
      <c r="I71" s="10">
        <v>159.1</v>
      </c>
      <c r="J71" s="10">
        <v>178.8</v>
      </c>
    </row>
    <row r="72" spans="1:10" x14ac:dyDescent="0.2">
      <c r="A72" s="11" t="s">
        <v>60</v>
      </c>
      <c r="B72" s="11" t="s">
        <v>109</v>
      </c>
      <c r="C72" s="11" t="s">
        <v>110</v>
      </c>
      <c r="D72" s="11" t="s">
        <v>111</v>
      </c>
      <c r="E72" s="11" t="s">
        <v>112</v>
      </c>
      <c r="F72" s="11" t="s">
        <v>117</v>
      </c>
      <c r="G72" s="11" t="s">
        <v>118</v>
      </c>
      <c r="H72" s="12">
        <v>802</v>
      </c>
      <c r="I72" s="13">
        <v>393.6</v>
      </c>
      <c r="J72" s="13">
        <v>240.6</v>
      </c>
    </row>
    <row r="73" spans="1:10" x14ac:dyDescent="0.2">
      <c r="A73" s="8" t="s">
        <v>60</v>
      </c>
      <c r="B73" s="8" t="s">
        <v>44</v>
      </c>
      <c r="C73" s="8" t="s">
        <v>45</v>
      </c>
      <c r="D73" s="8" t="s">
        <v>46</v>
      </c>
      <c r="E73" s="8" t="s">
        <v>47</v>
      </c>
      <c r="F73" s="8" t="s">
        <v>48</v>
      </c>
      <c r="G73" s="8" t="s">
        <v>49</v>
      </c>
      <c r="H73" s="9">
        <v>144</v>
      </c>
      <c r="I73" s="10">
        <v>280</v>
      </c>
      <c r="J73" s="10">
        <v>360</v>
      </c>
    </row>
    <row r="74" spans="1:10" x14ac:dyDescent="0.2">
      <c r="A74" s="11" t="s">
        <v>60</v>
      </c>
      <c r="B74" s="11" t="s">
        <v>40</v>
      </c>
      <c r="C74" s="11" t="s">
        <v>41</v>
      </c>
      <c r="D74" s="11" t="s">
        <v>36</v>
      </c>
      <c r="E74" s="11" t="s">
        <v>37</v>
      </c>
      <c r="F74" s="11" t="s">
        <v>38</v>
      </c>
      <c r="G74" s="11" t="s">
        <v>39</v>
      </c>
      <c r="H74" s="12">
        <v>1965</v>
      </c>
      <c r="I74" s="13">
        <v>19.649999999999999</v>
      </c>
      <c r="J74" s="13">
        <v>687.75</v>
      </c>
    </row>
    <row r="75" spans="1:10" x14ac:dyDescent="0.2">
      <c r="A75" s="8" t="s">
        <v>60</v>
      </c>
      <c r="B75" s="8" t="s">
        <v>40</v>
      </c>
      <c r="C75" s="8" t="s">
        <v>41</v>
      </c>
      <c r="D75" s="8" t="s">
        <v>36</v>
      </c>
      <c r="E75" s="8" t="s">
        <v>37</v>
      </c>
      <c r="F75" s="8" t="s">
        <v>42</v>
      </c>
      <c r="G75" s="8" t="s">
        <v>43</v>
      </c>
      <c r="H75" s="9">
        <v>226</v>
      </c>
      <c r="I75" s="10">
        <v>67.8</v>
      </c>
      <c r="J75" s="10">
        <v>158.19999999999999</v>
      </c>
    </row>
    <row r="76" spans="1:10" x14ac:dyDescent="0.2">
      <c r="A76" s="11" t="s">
        <v>60</v>
      </c>
      <c r="B76" s="11" t="s">
        <v>81</v>
      </c>
      <c r="C76" s="11" t="s">
        <v>82</v>
      </c>
      <c r="D76" s="11" t="s">
        <v>26</v>
      </c>
      <c r="E76" s="11" t="s">
        <v>27</v>
      </c>
      <c r="F76" s="11" t="s">
        <v>28</v>
      </c>
      <c r="G76" s="11" t="s">
        <v>29</v>
      </c>
      <c r="H76" s="12">
        <v>654</v>
      </c>
      <c r="I76" s="13">
        <v>71.070999999999998</v>
      </c>
      <c r="J76" s="13">
        <v>65.400000000000006</v>
      </c>
    </row>
    <row r="77" spans="1:10" x14ac:dyDescent="0.2">
      <c r="A77" s="8" t="s">
        <v>60</v>
      </c>
      <c r="B77" s="8" t="s">
        <v>81</v>
      </c>
      <c r="C77" s="8" t="s">
        <v>82</v>
      </c>
      <c r="D77" s="8" t="s">
        <v>26</v>
      </c>
      <c r="E77" s="8" t="s">
        <v>27</v>
      </c>
      <c r="F77" s="8" t="s">
        <v>30</v>
      </c>
      <c r="G77" s="8" t="s">
        <v>31</v>
      </c>
      <c r="H77" s="9">
        <v>86</v>
      </c>
      <c r="I77" s="10">
        <v>28.7</v>
      </c>
      <c r="J77" s="10">
        <v>12.9</v>
      </c>
    </row>
    <row r="78" spans="1:10" x14ac:dyDescent="0.2">
      <c r="A78" s="11" t="s">
        <v>60</v>
      </c>
      <c r="B78" s="11" t="s">
        <v>81</v>
      </c>
      <c r="C78" s="11" t="s">
        <v>82</v>
      </c>
      <c r="D78" s="11" t="s">
        <v>26</v>
      </c>
      <c r="E78" s="11" t="s">
        <v>27</v>
      </c>
      <c r="F78" s="11" t="s">
        <v>34</v>
      </c>
      <c r="G78" s="11" t="s">
        <v>35</v>
      </c>
      <c r="H78" s="12">
        <v>116</v>
      </c>
      <c r="I78" s="13">
        <v>2082</v>
      </c>
      <c r="J78" s="13">
        <v>754</v>
      </c>
    </row>
    <row r="79" spans="1:10" x14ac:dyDescent="0.2">
      <c r="A79" s="8" t="s">
        <v>60</v>
      </c>
      <c r="B79" s="8" t="s">
        <v>81</v>
      </c>
      <c r="C79" s="8" t="s">
        <v>82</v>
      </c>
      <c r="D79" s="8" t="s">
        <v>26</v>
      </c>
      <c r="E79" s="8" t="s">
        <v>27</v>
      </c>
      <c r="F79" s="8" t="s">
        <v>87</v>
      </c>
      <c r="G79" s="8" t="s">
        <v>88</v>
      </c>
      <c r="H79" s="9">
        <v>11</v>
      </c>
      <c r="I79" s="10">
        <v>292.5</v>
      </c>
      <c r="J79" s="10">
        <v>380.25</v>
      </c>
    </row>
    <row r="80" spans="1:10" x14ac:dyDescent="0.2">
      <c r="A80" s="11" t="s">
        <v>60</v>
      </c>
      <c r="B80" s="11" t="s">
        <v>81</v>
      </c>
      <c r="C80" s="11" t="s">
        <v>82</v>
      </c>
      <c r="D80" s="11" t="s">
        <v>36</v>
      </c>
      <c r="E80" s="11" t="s">
        <v>37</v>
      </c>
      <c r="F80" s="11" t="s">
        <v>38</v>
      </c>
      <c r="G80" s="11" t="s">
        <v>39</v>
      </c>
      <c r="H80" s="12">
        <v>185</v>
      </c>
      <c r="I80" s="13">
        <v>24.11</v>
      </c>
      <c r="J80" s="13">
        <v>64.75</v>
      </c>
    </row>
    <row r="81" spans="1:10" x14ac:dyDescent="0.2">
      <c r="A81" s="8" t="s">
        <v>60</v>
      </c>
      <c r="B81" s="8" t="s">
        <v>81</v>
      </c>
      <c r="C81" s="8" t="s">
        <v>82</v>
      </c>
      <c r="D81" s="8" t="s">
        <v>36</v>
      </c>
      <c r="E81" s="8" t="s">
        <v>37</v>
      </c>
      <c r="F81" s="8" t="s">
        <v>42</v>
      </c>
      <c r="G81" s="8" t="s">
        <v>43</v>
      </c>
      <c r="H81" s="9">
        <v>159</v>
      </c>
      <c r="I81" s="10">
        <v>3.48</v>
      </c>
      <c r="J81" s="10">
        <v>111.3</v>
      </c>
    </row>
    <row r="82" spans="1:10" x14ac:dyDescent="0.2">
      <c r="A82" s="11" t="s">
        <v>92</v>
      </c>
      <c r="B82" s="11" t="s">
        <v>85</v>
      </c>
      <c r="C82" s="11" t="s">
        <v>86</v>
      </c>
      <c r="D82" s="11" t="s">
        <v>56</v>
      </c>
      <c r="E82" s="11" t="s">
        <v>57</v>
      </c>
      <c r="F82" s="11" t="s">
        <v>107</v>
      </c>
      <c r="G82" s="11" t="s">
        <v>108</v>
      </c>
      <c r="H82" s="12">
        <v>8</v>
      </c>
      <c r="I82" s="13">
        <v>40</v>
      </c>
      <c r="J82" s="13">
        <v>52</v>
      </c>
    </row>
    <row r="83" spans="1:10" x14ac:dyDescent="0.2">
      <c r="A83" s="8" t="s">
        <v>60</v>
      </c>
      <c r="B83" s="8" t="s">
        <v>81</v>
      </c>
      <c r="C83" s="8" t="s">
        <v>82</v>
      </c>
      <c r="D83" s="8" t="s">
        <v>89</v>
      </c>
      <c r="E83" s="8" t="s">
        <v>90</v>
      </c>
      <c r="F83" s="8" t="s">
        <v>89</v>
      </c>
      <c r="G83" s="8" t="s">
        <v>91</v>
      </c>
      <c r="H83" s="9">
        <v>468</v>
      </c>
      <c r="I83" s="10">
        <v>11466</v>
      </c>
      <c r="J83" s="10">
        <v>10319.4</v>
      </c>
    </row>
    <row r="84" spans="1:10" x14ac:dyDescent="0.2">
      <c r="A84" s="11" t="s">
        <v>60</v>
      </c>
      <c r="B84" s="11" t="s">
        <v>50</v>
      </c>
      <c r="C84" s="11" t="s">
        <v>51</v>
      </c>
      <c r="D84" s="11" t="s">
        <v>26</v>
      </c>
      <c r="E84" s="11" t="s">
        <v>27</v>
      </c>
      <c r="F84" s="11" t="s">
        <v>28</v>
      </c>
      <c r="G84" s="11" t="s">
        <v>29</v>
      </c>
      <c r="H84" s="12">
        <v>236977</v>
      </c>
      <c r="I84" s="13">
        <v>16970.919999999998</v>
      </c>
      <c r="J84" s="13">
        <v>23697.7</v>
      </c>
    </row>
    <row r="85" spans="1:10" x14ac:dyDescent="0.2">
      <c r="A85" s="8" t="s">
        <v>60</v>
      </c>
      <c r="B85" s="8" t="s">
        <v>50</v>
      </c>
      <c r="C85" s="8" t="s">
        <v>51</v>
      </c>
      <c r="D85" s="8" t="s">
        <v>26</v>
      </c>
      <c r="E85" s="8" t="s">
        <v>27</v>
      </c>
      <c r="F85" s="8" t="s">
        <v>30</v>
      </c>
      <c r="G85" s="8" t="s">
        <v>31</v>
      </c>
      <c r="H85" s="9">
        <v>43068</v>
      </c>
      <c r="I85" s="10">
        <v>21771.41</v>
      </c>
      <c r="J85" s="10">
        <v>6460.2</v>
      </c>
    </row>
    <row r="86" spans="1:10" x14ac:dyDescent="0.2">
      <c r="A86" s="11" t="s">
        <v>60</v>
      </c>
      <c r="B86" s="11" t="s">
        <v>50</v>
      </c>
      <c r="C86" s="11" t="s">
        <v>51</v>
      </c>
      <c r="D86" s="11" t="s">
        <v>26</v>
      </c>
      <c r="E86" s="11" t="s">
        <v>27</v>
      </c>
      <c r="F86" s="11" t="s">
        <v>52</v>
      </c>
      <c r="G86" s="11" t="s">
        <v>53</v>
      </c>
      <c r="H86" s="12">
        <v>5187</v>
      </c>
      <c r="I86" s="13">
        <v>7555.97</v>
      </c>
      <c r="J86" s="13">
        <v>3890.25</v>
      </c>
    </row>
    <row r="87" spans="1:10" x14ac:dyDescent="0.2">
      <c r="A87" s="8" t="s">
        <v>60</v>
      </c>
      <c r="B87" s="8" t="s">
        <v>50</v>
      </c>
      <c r="C87" s="8" t="s">
        <v>51</v>
      </c>
      <c r="D87" s="8" t="s">
        <v>26</v>
      </c>
      <c r="E87" s="8" t="s">
        <v>27</v>
      </c>
      <c r="F87" s="8" t="s">
        <v>32</v>
      </c>
      <c r="G87" s="8" t="s">
        <v>33</v>
      </c>
      <c r="H87" s="9">
        <v>2126</v>
      </c>
      <c r="I87" s="10">
        <v>5938.32</v>
      </c>
      <c r="J87" s="10">
        <v>5527.6</v>
      </c>
    </row>
    <row r="88" spans="1:10" x14ac:dyDescent="0.2">
      <c r="A88" s="11" t="s">
        <v>60</v>
      </c>
      <c r="B88" s="11" t="s">
        <v>50</v>
      </c>
      <c r="C88" s="11" t="s">
        <v>51</v>
      </c>
      <c r="D88" s="11" t="s">
        <v>26</v>
      </c>
      <c r="E88" s="11" t="s">
        <v>27</v>
      </c>
      <c r="F88" s="11" t="s">
        <v>34</v>
      </c>
      <c r="G88" s="11" t="s">
        <v>35</v>
      </c>
      <c r="H88" s="12">
        <v>689</v>
      </c>
      <c r="I88" s="13">
        <v>4578.6899999999996</v>
      </c>
      <c r="J88" s="13">
        <v>4478.5</v>
      </c>
    </row>
    <row r="89" spans="1:10" x14ac:dyDescent="0.2">
      <c r="A89" s="8" t="s">
        <v>103</v>
      </c>
      <c r="B89" s="8" t="s">
        <v>101</v>
      </c>
      <c r="C89" s="8" t="s">
        <v>102</v>
      </c>
      <c r="D89" s="8" t="s">
        <v>26</v>
      </c>
      <c r="E89" s="8" t="s">
        <v>27</v>
      </c>
      <c r="F89" s="8" t="s">
        <v>30</v>
      </c>
      <c r="G89" s="8" t="s">
        <v>31</v>
      </c>
      <c r="H89" s="9">
        <v>1</v>
      </c>
      <c r="I89" s="10">
        <v>0.45</v>
      </c>
      <c r="J89" s="10">
        <v>0.15</v>
      </c>
    </row>
    <row r="90" spans="1:10" x14ac:dyDescent="0.2">
      <c r="A90" s="11" t="s">
        <v>103</v>
      </c>
      <c r="B90" s="11" t="s">
        <v>101</v>
      </c>
      <c r="C90" s="11" t="s">
        <v>102</v>
      </c>
      <c r="D90" s="11" t="s">
        <v>26</v>
      </c>
      <c r="E90" s="11" t="s">
        <v>27</v>
      </c>
      <c r="F90" s="11" t="s">
        <v>52</v>
      </c>
      <c r="G90" s="11" t="s">
        <v>53</v>
      </c>
      <c r="H90" s="12">
        <v>1</v>
      </c>
      <c r="I90" s="13">
        <v>2</v>
      </c>
      <c r="J90" s="13">
        <v>0.75</v>
      </c>
    </row>
    <row r="91" spans="1:10" x14ac:dyDescent="0.2">
      <c r="A91" s="8" t="s">
        <v>103</v>
      </c>
      <c r="B91" s="8" t="s">
        <v>101</v>
      </c>
      <c r="C91" s="8" t="s">
        <v>102</v>
      </c>
      <c r="D91" s="8" t="s">
        <v>26</v>
      </c>
      <c r="E91" s="8" t="s">
        <v>27</v>
      </c>
      <c r="F91" s="8" t="s">
        <v>34</v>
      </c>
      <c r="G91" s="8" t="s">
        <v>35</v>
      </c>
      <c r="H91" s="9">
        <v>3</v>
      </c>
      <c r="I91" s="10">
        <v>22.74</v>
      </c>
      <c r="J91" s="10">
        <v>19.5</v>
      </c>
    </row>
    <row r="92" spans="1:10" x14ac:dyDescent="0.2">
      <c r="A92" s="11" t="s">
        <v>92</v>
      </c>
      <c r="B92" s="11" t="s">
        <v>101</v>
      </c>
      <c r="C92" s="11" t="s">
        <v>102</v>
      </c>
      <c r="D92" s="11" t="s">
        <v>56</v>
      </c>
      <c r="E92" s="11" t="s">
        <v>57</v>
      </c>
      <c r="F92" s="11" t="s">
        <v>107</v>
      </c>
      <c r="G92" s="11" t="s">
        <v>108</v>
      </c>
      <c r="H92" s="12">
        <v>1</v>
      </c>
      <c r="I92" s="13">
        <v>8.5</v>
      </c>
      <c r="J92" s="13">
        <v>6.5</v>
      </c>
    </row>
    <row r="93" spans="1:10" x14ac:dyDescent="0.2">
      <c r="A93" s="8" t="s">
        <v>103</v>
      </c>
      <c r="B93" s="8" t="s">
        <v>44</v>
      </c>
      <c r="C93" s="8" t="s">
        <v>45</v>
      </c>
      <c r="D93" s="8" t="s">
        <v>46</v>
      </c>
      <c r="E93" s="8" t="s">
        <v>47</v>
      </c>
      <c r="F93" s="8" t="s">
        <v>48</v>
      </c>
      <c r="G93" s="8" t="s">
        <v>49</v>
      </c>
      <c r="H93" s="9">
        <v>68</v>
      </c>
      <c r="I93" s="10">
        <v>104</v>
      </c>
      <c r="J93" s="10">
        <v>170</v>
      </c>
    </row>
    <row r="94" spans="1:10" x14ac:dyDescent="0.2">
      <c r="A94" s="11" t="s">
        <v>106</v>
      </c>
      <c r="B94" s="11" t="s">
        <v>85</v>
      </c>
      <c r="C94" s="11" t="s">
        <v>86</v>
      </c>
      <c r="D94" s="11" t="s">
        <v>56</v>
      </c>
      <c r="E94" s="11" t="s">
        <v>57</v>
      </c>
      <c r="F94" s="11" t="s">
        <v>107</v>
      </c>
      <c r="G94" s="11" t="s">
        <v>108</v>
      </c>
      <c r="H94" s="12">
        <v>1</v>
      </c>
      <c r="I94" s="13">
        <v>8</v>
      </c>
      <c r="J94" s="13">
        <v>6.5</v>
      </c>
    </row>
    <row r="95" spans="1:10" x14ac:dyDescent="0.2">
      <c r="A95" s="8" t="s">
        <v>23</v>
      </c>
      <c r="B95" s="8" t="s">
        <v>85</v>
      </c>
      <c r="C95" s="8" t="s">
        <v>86</v>
      </c>
      <c r="D95" s="8" t="s">
        <v>56</v>
      </c>
      <c r="E95" s="8" t="s">
        <v>57</v>
      </c>
      <c r="F95" s="8" t="s">
        <v>119</v>
      </c>
      <c r="G95" s="8" t="s">
        <v>120</v>
      </c>
      <c r="H95" s="9">
        <v>2</v>
      </c>
      <c r="I95" s="10">
        <v>2620</v>
      </c>
      <c r="J95" s="10">
        <v>3406</v>
      </c>
    </row>
    <row r="96" spans="1:10" x14ac:dyDescent="0.2">
      <c r="A96" s="11" t="s">
        <v>103</v>
      </c>
      <c r="B96" s="11" t="s">
        <v>50</v>
      </c>
      <c r="C96" s="11" t="s">
        <v>51</v>
      </c>
      <c r="D96" s="11" t="s">
        <v>26</v>
      </c>
      <c r="E96" s="11" t="s">
        <v>27</v>
      </c>
      <c r="F96" s="11" t="s">
        <v>28</v>
      </c>
      <c r="G96" s="11" t="s">
        <v>29</v>
      </c>
      <c r="H96" s="12">
        <v>214134</v>
      </c>
      <c r="I96" s="13">
        <v>16426.87</v>
      </c>
      <c r="J96" s="13">
        <v>21413.4</v>
      </c>
    </row>
    <row r="97" spans="1:10" x14ac:dyDescent="0.2">
      <c r="A97" s="8" t="s">
        <v>103</v>
      </c>
      <c r="B97" s="8" t="s">
        <v>50</v>
      </c>
      <c r="C97" s="8" t="s">
        <v>51</v>
      </c>
      <c r="D97" s="8" t="s">
        <v>26</v>
      </c>
      <c r="E97" s="8" t="s">
        <v>27</v>
      </c>
      <c r="F97" s="8" t="s">
        <v>30</v>
      </c>
      <c r="G97" s="8" t="s">
        <v>31</v>
      </c>
      <c r="H97" s="9">
        <v>39245</v>
      </c>
      <c r="I97" s="10">
        <v>18518.919999999998</v>
      </c>
      <c r="J97" s="10">
        <v>5886.75</v>
      </c>
    </row>
    <row r="98" spans="1:10" x14ac:dyDescent="0.2">
      <c r="A98" s="11" t="s">
        <v>103</v>
      </c>
      <c r="B98" s="11" t="s">
        <v>50</v>
      </c>
      <c r="C98" s="11" t="s">
        <v>51</v>
      </c>
      <c r="D98" s="11" t="s">
        <v>26</v>
      </c>
      <c r="E98" s="11" t="s">
        <v>27</v>
      </c>
      <c r="F98" s="11" t="s">
        <v>52</v>
      </c>
      <c r="G98" s="11" t="s">
        <v>53</v>
      </c>
      <c r="H98" s="12">
        <v>5569</v>
      </c>
      <c r="I98" s="13">
        <v>7753.2</v>
      </c>
      <c r="J98" s="13">
        <v>4176.75</v>
      </c>
    </row>
    <row r="99" spans="1:10" x14ac:dyDescent="0.2">
      <c r="A99" s="8" t="s">
        <v>103</v>
      </c>
      <c r="B99" s="8" t="s">
        <v>50</v>
      </c>
      <c r="C99" s="8" t="s">
        <v>51</v>
      </c>
      <c r="D99" s="8" t="s">
        <v>26</v>
      </c>
      <c r="E99" s="8" t="s">
        <v>27</v>
      </c>
      <c r="F99" s="8" t="s">
        <v>32</v>
      </c>
      <c r="G99" s="8" t="s">
        <v>33</v>
      </c>
      <c r="H99" s="9">
        <v>2117</v>
      </c>
      <c r="I99" s="10">
        <v>5797.44</v>
      </c>
      <c r="J99" s="10">
        <v>5504.2</v>
      </c>
    </row>
    <row r="100" spans="1:10" x14ac:dyDescent="0.2">
      <c r="A100" s="11" t="s">
        <v>103</v>
      </c>
      <c r="B100" s="11" t="s">
        <v>50</v>
      </c>
      <c r="C100" s="11" t="s">
        <v>51</v>
      </c>
      <c r="D100" s="11" t="s">
        <v>26</v>
      </c>
      <c r="E100" s="11" t="s">
        <v>27</v>
      </c>
      <c r="F100" s="11" t="s">
        <v>34</v>
      </c>
      <c r="G100" s="11" t="s">
        <v>35</v>
      </c>
      <c r="H100" s="12">
        <v>750</v>
      </c>
      <c r="I100" s="13">
        <v>4495.0600000000004</v>
      </c>
      <c r="J100" s="13">
        <v>4875</v>
      </c>
    </row>
    <row r="101" spans="1:10" x14ac:dyDescent="0.2">
      <c r="A101" s="8" t="s">
        <v>103</v>
      </c>
      <c r="B101" s="8" t="s">
        <v>24</v>
      </c>
      <c r="C101" s="8" t="s">
        <v>25</v>
      </c>
      <c r="D101" s="8" t="s">
        <v>36</v>
      </c>
      <c r="E101" s="8" t="s">
        <v>37</v>
      </c>
      <c r="F101" s="8" t="s">
        <v>38</v>
      </c>
      <c r="G101" s="8" t="s">
        <v>39</v>
      </c>
      <c r="H101" s="9">
        <v>12</v>
      </c>
      <c r="I101" s="10">
        <v>5</v>
      </c>
      <c r="J101" s="10">
        <v>4.2</v>
      </c>
    </row>
    <row r="102" spans="1:10" x14ac:dyDescent="0.2">
      <c r="A102" s="11" t="s">
        <v>103</v>
      </c>
      <c r="B102" s="11" t="s">
        <v>24</v>
      </c>
      <c r="C102" s="11" t="s">
        <v>25</v>
      </c>
      <c r="D102" s="11" t="s">
        <v>26</v>
      </c>
      <c r="E102" s="11" t="s">
        <v>27</v>
      </c>
      <c r="F102" s="11" t="s">
        <v>28</v>
      </c>
      <c r="G102" s="11" t="s">
        <v>29</v>
      </c>
      <c r="H102" s="12">
        <v>166</v>
      </c>
      <c r="I102" s="13">
        <v>25</v>
      </c>
      <c r="J102" s="13">
        <v>16.600000000000001</v>
      </c>
    </row>
    <row r="103" spans="1:10" x14ac:dyDescent="0.2">
      <c r="A103" s="8" t="s">
        <v>103</v>
      </c>
      <c r="B103" s="8" t="s">
        <v>24</v>
      </c>
      <c r="C103" s="8" t="s">
        <v>25</v>
      </c>
      <c r="D103" s="8" t="s">
        <v>26</v>
      </c>
      <c r="E103" s="8" t="s">
        <v>27</v>
      </c>
      <c r="F103" s="8" t="s">
        <v>30</v>
      </c>
      <c r="G103" s="8" t="s">
        <v>31</v>
      </c>
      <c r="H103" s="9">
        <v>125</v>
      </c>
      <c r="I103" s="10">
        <v>49</v>
      </c>
      <c r="J103" s="10">
        <v>18.75</v>
      </c>
    </row>
    <row r="104" spans="1:10" x14ac:dyDescent="0.2">
      <c r="A104" s="11" t="s">
        <v>103</v>
      </c>
      <c r="B104" s="11" t="s">
        <v>24</v>
      </c>
      <c r="C104" s="11" t="s">
        <v>25</v>
      </c>
      <c r="D104" s="11" t="s">
        <v>26</v>
      </c>
      <c r="E104" s="11" t="s">
        <v>27</v>
      </c>
      <c r="F104" s="11" t="s">
        <v>52</v>
      </c>
      <c r="G104" s="11" t="s">
        <v>53</v>
      </c>
      <c r="H104" s="12">
        <v>28</v>
      </c>
      <c r="I104" s="13">
        <v>8</v>
      </c>
      <c r="J104" s="13">
        <v>21</v>
      </c>
    </row>
    <row r="105" spans="1:10" x14ac:dyDescent="0.2">
      <c r="A105" s="8" t="s">
        <v>103</v>
      </c>
      <c r="B105" s="8" t="s">
        <v>85</v>
      </c>
      <c r="C105" s="8" t="s">
        <v>86</v>
      </c>
      <c r="D105" s="8" t="s">
        <v>26</v>
      </c>
      <c r="E105" s="8" t="s">
        <v>27</v>
      </c>
      <c r="F105" s="8" t="s">
        <v>34</v>
      </c>
      <c r="G105" s="8" t="s">
        <v>35</v>
      </c>
      <c r="H105" s="9">
        <v>1</v>
      </c>
      <c r="I105" s="10">
        <v>7</v>
      </c>
      <c r="J105" s="10">
        <v>6.5</v>
      </c>
    </row>
    <row r="106" spans="1:10" x14ac:dyDescent="0.2">
      <c r="A106" s="11" t="s">
        <v>103</v>
      </c>
      <c r="B106" s="11" t="s">
        <v>85</v>
      </c>
      <c r="C106" s="11" t="s">
        <v>86</v>
      </c>
      <c r="D106" s="11" t="s">
        <v>26</v>
      </c>
      <c r="E106" s="11" t="s">
        <v>27</v>
      </c>
      <c r="F106" s="11" t="s">
        <v>87</v>
      </c>
      <c r="G106" s="11" t="s">
        <v>88</v>
      </c>
      <c r="H106" s="12">
        <v>8</v>
      </c>
      <c r="I106" s="13">
        <v>321</v>
      </c>
      <c r="J106" s="13">
        <v>417.3</v>
      </c>
    </row>
    <row r="107" spans="1:10" x14ac:dyDescent="0.2">
      <c r="A107" s="8" t="s">
        <v>103</v>
      </c>
      <c r="B107" s="8" t="s">
        <v>40</v>
      </c>
      <c r="C107" s="8" t="s">
        <v>41</v>
      </c>
      <c r="D107" s="8" t="s">
        <v>36</v>
      </c>
      <c r="E107" s="8" t="s">
        <v>37</v>
      </c>
      <c r="F107" s="8" t="s">
        <v>38</v>
      </c>
      <c r="G107" s="8" t="s">
        <v>39</v>
      </c>
      <c r="H107" s="9">
        <v>1443</v>
      </c>
      <c r="I107" s="10">
        <v>14.43</v>
      </c>
      <c r="J107" s="10">
        <v>505.05</v>
      </c>
    </row>
    <row r="108" spans="1:10" x14ac:dyDescent="0.2">
      <c r="A108" s="11" t="s">
        <v>103</v>
      </c>
      <c r="B108" s="11" t="s">
        <v>40</v>
      </c>
      <c r="C108" s="11" t="s">
        <v>41</v>
      </c>
      <c r="D108" s="11" t="s">
        <v>36</v>
      </c>
      <c r="E108" s="11" t="s">
        <v>37</v>
      </c>
      <c r="F108" s="11" t="s">
        <v>42</v>
      </c>
      <c r="G108" s="11" t="s">
        <v>43</v>
      </c>
      <c r="H108" s="12">
        <v>210</v>
      </c>
      <c r="I108" s="13">
        <v>63</v>
      </c>
      <c r="J108" s="13">
        <v>147</v>
      </c>
    </row>
    <row r="109" spans="1:10" x14ac:dyDescent="0.2">
      <c r="A109" s="8" t="s">
        <v>92</v>
      </c>
      <c r="B109" s="8" t="s">
        <v>44</v>
      </c>
      <c r="C109" s="8" t="s">
        <v>45</v>
      </c>
      <c r="D109" s="8" t="s">
        <v>46</v>
      </c>
      <c r="E109" s="8" t="s">
        <v>47</v>
      </c>
      <c r="F109" s="8" t="s">
        <v>48</v>
      </c>
      <c r="G109" s="8" t="s">
        <v>49</v>
      </c>
      <c r="H109" s="9">
        <v>113</v>
      </c>
      <c r="I109" s="10">
        <v>200.33</v>
      </c>
      <c r="J109" s="10">
        <v>282.5</v>
      </c>
    </row>
    <row r="110" spans="1:10" x14ac:dyDescent="0.2">
      <c r="A110" s="11" t="s">
        <v>92</v>
      </c>
      <c r="B110" s="11" t="s">
        <v>44</v>
      </c>
      <c r="C110" s="11" t="s">
        <v>45</v>
      </c>
      <c r="D110" s="11" t="s">
        <v>46</v>
      </c>
      <c r="E110" s="11" t="s">
        <v>47</v>
      </c>
      <c r="F110" s="11" t="s">
        <v>121</v>
      </c>
      <c r="G110" s="11" t="s">
        <v>122</v>
      </c>
      <c r="H110" s="12">
        <v>14</v>
      </c>
      <c r="I110" s="13">
        <v>83.4</v>
      </c>
      <c r="J110" s="13">
        <v>42</v>
      </c>
    </row>
    <row r="111" spans="1:10" x14ac:dyDescent="0.2">
      <c r="A111" s="11" t="s">
        <v>60</v>
      </c>
      <c r="B111" s="11" t="s">
        <v>85</v>
      </c>
      <c r="C111" s="11" t="s">
        <v>86</v>
      </c>
      <c r="D111" s="11" t="s">
        <v>56</v>
      </c>
      <c r="E111" s="11" t="s">
        <v>57</v>
      </c>
      <c r="F111" s="11" t="s">
        <v>119</v>
      </c>
      <c r="G111" s="11" t="s">
        <v>120</v>
      </c>
      <c r="H111" s="12">
        <v>2</v>
      </c>
      <c r="I111" s="13">
        <v>264</v>
      </c>
      <c r="J111" s="13">
        <v>343.2</v>
      </c>
    </row>
    <row r="112" spans="1:10" x14ac:dyDescent="0.2">
      <c r="A112" s="11" t="s">
        <v>92</v>
      </c>
      <c r="B112" s="11" t="s">
        <v>104</v>
      </c>
      <c r="C112" s="11" t="s">
        <v>105</v>
      </c>
      <c r="D112" s="11" t="s">
        <v>89</v>
      </c>
      <c r="E112" s="11" t="s">
        <v>90</v>
      </c>
      <c r="F112" s="11" t="s">
        <v>89</v>
      </c>
      <c r="G112" s="11" t="s">
        <v>91</v>
      </c>
      <c r="H112" s="12">
        <v>38945</v>
      </c>
      <c r="I112" s="13">
        <v>1304658</v>
      </c>
      <c r="J112" s="13">
        <v>1174192.2</v>
      </c>
    </row>
    <row r="113" spans="1:10" x14ac:dyDescent="0.2">
      <c r="A113" s="8" t="s">
        <v>92</v>
      </c>
      <c r="B113" s="8" t="s">
        <v>123</v>
      </c>
      <c r="C113" s="8" t="s">
        <v>124</v>
      </c>
      <c r="D113" s="8" t="s">
        <v>56</v>
      </c>
      <c r="E113" s="8" t="s">
        <v>57</v>
      </c>
      <c r="F113" s="8" t="s">
        <v>119</v>
      </c>
      <c r="G113" s="8" t="s">
        <v>120</v>
      </c>
      <c r="H113" s="9">
        <v>136</v>
      </c>
      <c r="I113" s="10">
        <v>15776</v>
      </c>
      <c r="J113" s="10">
        <v>20508.8</v>
      </c>
    </row>
    <row r="114" spans="1:10" x14ac:dyDescent="0.2">
      <c r="A114" s="11" t="s">
        <v>92</v>
      </c>
      <c r="B114" s="11" t="s">
        <v>123</v>
      </c>
      <c r="C114" s="11" t="s">
        <v>124</v>
      </c>
      <c r="D114" s="11" t="s">
        <v>89</v>
      </c>
      <c r="E114" s="11" t="s">
        <v>90</v>
      </c>
      <c r="F114" s="11" t="s">
        <v>89</v>
      </c>
      <c r="G114" s="11" t="s">
        <v>91</v>
      </c>
      <c r="H114" s="12">
        <v>120348</v>
      </c>
      <c r="I114" s="13">
        <v>3924522</v>
      </c>
      <c r="J114" s="13">
        <v>3532069.8</v>
      </c>
    </row>
    <row r="115" spans="1:10" x14ac:dyDescent="0.2">
      <c r="A115" s="8" t="s">
        <v>92</v>
      </c>
      <c r="B115" s="8" t="s">
        <v>85</v>
      </c>
      <c r="C115" s="8" t="s">
        <v>86</v>
      </c>
      <c r="D115" s="8" t="s">
        <v>56</v>
      </c>
      <c r="E115" s="8" t="s">
        <v>57</v>
      </c>
      <c r="F115" s="8" t="s">
        <v>119</v>
      </c>
      <c r="G115" s="8" t="s">
        <v>120</v>
      </c>
      <c r="H115" s="9">
        <v>1</v>
      </c>
      <c r="I115" s="10">
        <v>145</v>
      </c>
      <c r="J115" s="10">
        <v>188.5</v>
      </c>
    </row>
    <row r="116" spans="1:10" x14ac:dyDescent="0.2">
      <c r="A116" s="8" t="s">
        <v>106</v>
      </c>
      <c r="B116" s="8" t="s">
        <v>85</v>
      </c>
      <c r="C116" s="8" t="s">
        <v>86</v>
      </c>
      <c r="D116" s="8" t="s">
        <v>56</v>
      </c>
      <c r="E116" s="8" t="s">
        <v>57</v>
      </c>
      <c r="F116" s="8" t="s">
        <v>119</v>
      </c>
      <c r="G116" s="8" t="s">
        <v>120</v>
      </c>
      <c r="H116" s="9">
        <v>1</v>
      </c>
      <c r="I116" s="10">
        <v>205</v>
      </c>
      <c r="J116" s="10">
        <v>266.5</v>
      </c>
    </row>
    <row r="117" spans="1:10" x14ac:dyDescent="0.2">
      <c r="A117" s="11" t="s">
        <v>23</v>
      </c>
      <c r="B117" s="11" t="s">
        <v>54</v>
      </c>
      <c r="C117" s="11" t="s">
        <v>55</v>
      </c>
      <c r="D117" s="11" t="s">
        <v>56</v>
      </c>
      <c r="E117" s="11" t="s">
        <v>57</v>
      </c>
      <c r="F117" s="11" t="s">
        <v>125</v>
      </c>
      <c r="G117" s="11" t="s">
        <v>126</v>
      </c>
      <c r="H117" s="12">
        <v>121</v>
      </c>
      <c r="I117" s="13">
        <v>2198.0500000000002</v>
      </c>
      <c r="J117" s="13">
        <v>1573</v>
      </c>
    </row>
    <row r="118" spans="1:10" x14ac:dyDescent="0.2">
      <c r="A118" s="11" t="s">
        <v>23</v>
      </c>
      <c r="B118" s="11" t="s">
        <v>95</v>
      </c>
      <c r="C118" s="11" t="s">
        <v>96</v>
      </c>
      <c r="D118" s="11" t="s">
        <v>56</v>
      </c>
      <c r="E118" s="11" t="s">
        <v>57</v>
      </c>
      <c r="F118" s="11" t="s">
        <v>125</v>
      </c>
      <c r="G118" s="11" t="s">
        <v>126</v>
      </c>
      <c r="H118" s="12">
        <v>87</v>
      </c>
      <c r="I118" s="13">
        <v>3822.4</v>
      </c>
      <c r="J118" s="13">
        <v>1131</v>
      </c>
    </row>
    <row r="119" spans="1:10" x14ac:dyDescent="0.2">
      <c r="A119" s="8" t="s">
        <v>60</v>
      </c>
      <c r="B119" s="8" t="s">
        <v>95</v>
      </c>
      <c r="C119" s="8" t="s">
        <v>96</v>
      </c>
      <c r="D119" s="8" t="s">
        <v>56</v>
      </c>
      <c r="E119" s="8" t="s">
        <v>57</v>
      </c>
      <c r="F119" s="8" t="s">
        <v>125</v>
      </c>
      <c r="G119" s="8" t="s">
        <v>126</v>
      </c>
      <c r="H119" s="9">
        <v>56</v>
      </c>
      <c r="I119" s="10">
        <v>2382</v>
      </c>
      <c r="J119" s="10">
        <v>728</v>
      </c>
    </row>
    <row r="120" spans="1:10" x14ac:dyDescent="0.2">
      <c r="A120" s="11" t="s">
        <v>60</v>
      </c>
      <c r="B120" s="11" t="s">
        <v>85</v>
      </c>
      <c r="C120" s="11" t="s">
        <v>86</v>
      </c>
      <c r="D120" s="11" t="s">
        <v>56</v>
      </c>
      <c r="E120" s="11" t="s">
        <v>57</v>
      </c>
      <c r="F120" s="11" t="s">
        <v>125</v>
      </c>
      <c r="G120" s="11" t="s">
        <v>126</v>
      </c>
      <c r="H120" s="12">
        <v>5</v>
      </c>
      <c r="I120" s="13">
        <v>129</v>
      </c>
      <c r="J120" s="13">
        <v>65</v>
      </c>
    </row>
    <row r="121" spans="1:10" x14ac:dyDescent="0.2">
      <c r="A121" s="11" t="s">
        <v>103</v>
      </c>
      <c r="B121" s="11" t="s">
        <v>101</v>
      </c>
      <c r="C121" s="11" t="s">
        <v>102</v>
      </c>
      <c r="D121" s="11" t="s">
        <v>56</v>
      </c>
      <c r="E121" s="11" t="s">
        <v>57</v>
      </c>
      <c r="F121" s="11" t="s">
        <v>125</v>
      </c>
      <c r="G121" s="11" t="s">
        <v>126</v>
      </c>
      <c r="H121" s="12">
        <v>6</v>
      </c>
      <c r="I121" s="13">
        <v>105.4</v>
      </c>
      <c r="J121" s="13">
        <v>78</v>
      </c>
    </row>
    <row r="122" spans="1:10" x14ac:dyDescent="0.2">
      <c r="A122" s="11" t="s">
        <v>92</v>
      </c>
      <c r="B122" s="11" t="s">
        <v>101</v>
      </c>
      <c r="C122" s="11" t="s">
        <v>102</v>
      </c>
      <c r="D122" s="11" t="s">
        <v>26</v>
      </c>
      <c r="E122" s="11" t="s">
        <v>27</v>
      </c>
      <c r="F122" s="11" t="s">
        <v>30</v>
      </c>
      <c r="G122" s="11" t="s">
        <v>31</v>
      </c>
      <c r="H122" s="12">
        <v>2</v>
      </c>
      <c r="I122" s="13">
        <v>0.9</v>
      </c>
      <c r="J122" s="13">
        <v>0.3</v>
      </c>
    </row>
    <row r="123" spans="1:10" x14ac:dyDescent="0.2">
      <c r="A123" s="8" t="s">
        <v>92</v>
      </c>
      <c r="B123" s="8" t="s">
        <v>101</v>
      </c>
      <c r="C123" s="8" t="s">
        <v>102</v>
      </c>
      <c r="D123" s="8" t="s">
        <v>26</v>
      </c>
      <c r="E123" s="8" t="s">
        <v>27</v>
      </c>
      <c r="F123" s="8" t="s">
        <v>52</v>
      </c>
      <c r="G123" s="8" t="s">
        <v>53</v>
      </c>
      <c r="H123" s="9">
        <v>6</v>
      </c>
      <c r="I123" s="10">
        <v>12</v>
      </c>
      <c r="J123" s="10">
        <v>4.5</v>
      </c>
    </row>
    <row r="124" spans="1:10" x14ac:dyDescent="0.2">
      <c r="A124" s="11" t="s">
        <v>92</v>
      </c>
      <c r="B124" s="11" t="s">
        <v>101</v>
      </c>
      <c r="C124" s="11" t="s">
        <v>102</v>
      </c>
      <c r="D124" s="11" t="s">
        <v>26</v>
      </c>
      <c r="E124" s="11" t="s">
        <v>27</v>
      </c>
      <c r="F124" s="11" t="s">
        <v>32</v>
      </c>
      <c r="G124" s="11" t="s">
        <v>33</v>
      </c>
      <c r="H124" s="12">
        <v>4</v>
      </c>
      <c r="I124" s="13">
        <v>12</v>
      </c>
      <c r="J124" s="13">
        <v>10.4</v>
      </c>
    </row>
    <row r="125" spans="1:10" x14ac:dyDescent="0.2">
      <c r="A125" s="8" t="s">
        <v>92</v>
      </c>
      <c r="B125" s="8" t="s">
        <v>101</v>
      </c>
      <c r="C125" s="8" t="s">
        <v>102</v>
      </c>
      <c r="D125" s="8" t="s">
        <v>26</v>
      </c>
      <c r="E125" s="8" t="s">
        <v>27</v>
      </c>
      <c r="F125" s="8" t="s">
        <v>34</v>
      </c>
      <c r="G125" s="8" t="s">
        <v>35</v>
      </c>
      <c r="H125" s="9">
        <v>1</v>
      </c>
      <c r="I125" s="10">
        <v>19</v>
      </c>
      <c r="J125" s="10">
        <v>6.5</v>
      </c>
    </row>
    <row r="126" spans="1:10" x14ac:dyDescent="0.2">
      <c r="A126" s="11" t="s">
        <v>92</v>
      </c>
      <c r="B126" s="11" t="s">
        <v>24</v>
      </c>
      <c r="C126" s="11" t="s">
        <v>25</v>
      </c>
      <c r="D126" s="11" t="s">
        <v>36</v>
      </c>
      <c r="E126" s="11" t="s">
        <v>37</v>
      </c>
      <c r="F126" s="11" t="s">
        <v>38</v>
      </c>
      <c r="G126" s="11" t="s">
        <v>39</v>
      </c>
      <c r="H126" s="12">
        <v>15</v>
      </c>
      <c r="I126" s="13">
        <v>7</v>
      </c>
      <c r="J126" s="13">
        <v>5.25</v>
      </c>
    </row>
    <row r="127" spans="1:10" x14ac:dyDescent="0.2">
      <c r="A127" s="8" t="s">
        <v>92</v>
      </c>
      <c r="B127" s="8" t="s">
        <v>24</v>
      </c>
      <c r="C127" s="8" t="s">
        <v>25</v>
      </c>
      <c r="D127" s="8" t="s">
        <v>26</v>
      </c>
      <c r="E127" s="8" t="s">
        <v>27</v>
      </c>
      <c r="F127" s="8" t="s">
        <v>28</v>
      </c>
      <c r="G127" s="8" t="s">
        <v>29</v>
      </c>
      <c r="H127" s="9">
        <v>182</v>
      </c>
      <c r="I127" s="10">
        <v>34</v>
      </c>
      <c r="J127" s="10">
        <v>18.2</v>
      </c>
    </row>
    <row r="128" spans="1:10" x14ac:dyDescent="0.2">
      <c r="A128" s="11" t="s">
        <v>92</v>
      </c>
      <c r="B128" s="11" t="s">
        <v>24</v>
      </c>
      <c r="C128" s="11" t="s">
        <v>25</v>
      </c>
      <c r="D128" s="11" t="s">
        <v>26</v>
      </c>
      <c r="E128" s="11" t="s">
        <v>27</v>
      </c>
      <c r="F128" s="11" t="s">
        <v>30</v>
      </c>
      <c r="G128" s="11" t="s">
        <v>31</v>
      </c>
      <c r="H128" s="12">
        <v>190</v>
      </c>
      <c r="I128" s="13">
        <v>123</v>
      </c>
      <c r="J128" s="13">
        <v>28.5</v>
      </c>
    </row>
    <row r="129" spans="1:10" x14ac:dyDescent="0.2">
      <c r="A129" s="8" t="s">
        <v>92</v>
      </c>
      <c r="B129" s="8" t="s">
        <v>50</v>
      </c>
      <c r="C129" s="8" t="s">
        <v>51</v>
      </c>
      <c r="D129" s="8" t="s">
        <v>26</v>
      </c>
      <c r="E129" s="8" t="s">
        <v>27</v>
      </c>
      <c r="F129" s="8" t="s">
        <v>28</v>
      </c>
      <c r="G129" s="8" t="s">
        <v>29</v>
      </c>
      <c r="H129" s="9">
        <v>213609</v>
      </c>
      <c r="I129" s="10">
        <v>15947.28</v>
      </c>
      <c r="J129" s="10">
        <v>21360.9</v>
      </c>
    </row>
    <row r="130" spans="1:10" x14ac:dyDescent="0.2">
      <c r="A130" s="11" t="s">
        <v>92</v>
      </c>
      <c r="B130" s="11" t="s">
        <v>50</v>
      </c>
      <c r="C130" s="11" t="s">
        <v>51</v>
      </c>
      <c r="D130" s="11" t="s">
        <v>26</v>
      </c>
      <c r="E130" s="11" t="s">
        <v>27</v>
      </c>
      <c r="F130" s="11" t="s">
        <v>30</v>
      </c>
      <c r="G130" s="11" t="s">
        <v>31</v>
      </c>
      <c r="H130" s="12">
        <v>46631</v>
      </c>
      <c r="I130" s="13">
        <v>23170.41</v>
      </c>
      <c r="J130" s="13">
        <v>6994.65</v>
      </c>
    </row>
    <row r="131" spans="1:10" x14ac:dyDescent="0.2">
      <c r="A131" s="8" t="s">
        <v>92</v>
      </c>
      <c r="B131" s="8" t="s">
        <v>50</v>
      </c>
      <c r="C131" s="8" t="s">
        <v>51</v>
      </c>
      <c r="D131" s="8" t="s">
        <v>26</v>
      </c>
      <c r="E131" s="8" t="s">
        <v>27</v>
      </c>
      <c r="F131" s="8" t="s">
        <v>52</v>
      </c>
      <c r="G131" s="8" t="s">
        <v>53</v>
      </c>
      <c r="H131" s="9">
        <v>7389</v>
      </c>
      <c r="I131" s="10">
        <v>10816.88</v>
      </c>
      <c r="J131" s="10">
        <v>5541.75</v>
      </c>
    </row>
    <row r="132" spans="1:10" x14ac:dyDescent="0.2">
      <c r="A132" s="11" t="s">
        <v>92</v>
      </c>
      <c r="B132" s="11" t="s">
        <v>50</v>
      </c>
      <c r="C132" s="11" t="s">
        <v>51</v>
      </c>
      <c r="D132" s="11" t="s">
        <v>26</v>
      </c>
      <c r="E132" s="11" t="s">
        <v>27</v>
      </c>
      <c r="F132" s="11" t="s">
        <v>32</v>
      </c>
      <c r="G132" s="11" t="s">
        <v>33</v>
      </c>
      <c r="H132" s="12">
        <v>3524</v>
      </c>
      <c r="I132" s="13">
        <v>9664.65</v>
      </c>
      <c r="J132" s="13">
        <v>9162.4</v>
      </c>
    </row>
    <row r="133" spans="1:10" x14ac:dyDescent="0.2">
      <c r="A133" s="8" t="s">
        <v>92</v>
      </c>
      <c r="B133" s="8" t="s">
        <v>50</v>
      </c>
      <c r="C133" s="8" t="s">
        <v>51</v>
      </c>
      <c r="D133" s="8" t="s">
        <v>26</v>
      </c>
      <c r="E133" s="8" t="s">
        <v>27</v>
      </c>
      <c r="F133" s="8" t="s">
        <v>34</v>
      </c>
      <c r="G133" s="8" t="s">
        <v>35</v>
      </c>
      <c r="H133" s="9">
        <v>853</v>
      </c>
      <c r="I133" s="10">
        <v>5450.2</v>
      </c>
      <c r="J133" s="10">
        <v>5544.5</v>
      </c>
    </row>
    <row r="134" spans="1:10" x14ac:dyDescent="0.2">
      <c r="A134" s="11" t="s">
        <v>106</v>
      </c>
      <c r="B134" s="11" t="s">
        <v>50</v>
      </c>
      <c r="C134" s="11" t="s">
        <v>51</v>
      </c>
      <c r="D134" s="11" t="s">
        <v>26</v>
      </c>
      <c r="E134" s="11" t="s">
        <v>27</v>
      </c>
      <c r="F134" s="11" t="s">
        <v>28</v>
      </c>
      <c r="G134" s="11" t="s">
        <v>29</v>
      </c>
      <c r="H134" s="12">
        <v>261626</v>
      </c>
      <c r="I134" s="13">
        <v>19516.240000000002</v>
      </c>
      <c r="J134" s="13">
        <v>26162.6</v>
      </c>
    </row>
    <row r="135" spans="1:10" x14ac:dyDescent="0.2">
      <c r="A135" s="8" t="s">
        <v>106</v>
      </c>
      <c r="B135" s="8" t="s">
        <v>50</v>
      </c>
      <c r="C135" s="8" t="s">
        <v>51</v>
      </c>
      <c r="D135" s="8" t="s">
        <v>26</v>
      </c>
      <c r="E135" s="8" t="s">
        <v>27</v>
      </c>
      <c r="F135" s="8" t="s">
        <v>30</v>
      </c>
      <c r="G135" s="8" t="s">
        <v>31</v>
      </c>
      <c r="H135" s="9">
        <v>42160</v>
      </c>
      <c r="I135" s="10">
        <v>19993.16</v>
      </c>
      <c r="J135" s="10">
        <v>6324</v>
      </c>
    </row>
    <row r="136" spans="1:10" x14ac:dyDescent="0.2">
      <c r="A136" s="11" t="s">
        <v>106</v>
      </c>
      <c r="B136" s="11" t="s">
        <v>50</v>
      </c>
      <c r="C136" s="11" t="s">
        <v>51</v>
      </c>
      <c r="D136" s="11" t="s">
        <v>26</v>
      </c>
      <c r="E136" s="11" t="s">
        <v>27</v>
      </c>
      <c r="F136" s="11" t="s">
        <v>52</v>
      </c>
      <c r="G136" s="11" t="s">
        <v>53</v>
      </c>
      <c r="H136" s="12">
        <v>5131</v>
      </c>
      <c r="I136" s="13">
        <v>7324.22</v>
      </c>
      <c r="J136" s="13">
        <v>3848.25</v>
      </c>
    </row>
    <row r="137" spans="1:10" x14ac:dyDescent="0.2">
      <c r="A137" s="8" t="s">
        <v>106</v>
      </c>
      <c r="B137" s="8" t="s">
        <v>50</v>
      </c>
      <c r="C137" s="8" t="s">
        <v>51</v>
      </c>
      <c r="D137" s="8" t="s">
        <v>26</v>
      </c>
      <c r="E137" s="8" t="s">
        <v>27</v>
      </c>
      <c r="F137" s="8" t="s">
        <v>32</v>
      </c>
      <c r="G137" s="8" t="s">
        <v>33</v>
      </c>
      <c r="H137" s="9">
        <v>1409</v>
      </c>
      <c r="I137" s="10">
        <v>2090.63</v>
      </c>
      <c r="J137" s="10">
        <v>3663.4</v>
      </c>
    </row>
    <row r="138" spans="1:10" x14ac:dyDescent="0.2">
      <c r="A138" s="11" t="s">
        <v>106</v>
      </c>
      <c r="B138" s="11" t="s">
        <v>50</v>
      </c>
      <c r="C138" s="11" t="s">
        <v>51</v>
      </c>
      <c r="D138" s="11" t="s">
        <v>26</v>
      </c>
      <c r="E138" s="11" t="s">
        <v>27</v>
      </c>
      <c r="F138" s="11" t="s">
        <v>34</v>
      </c>
      <c r="G138" s="11" t="s">
        <v>35</v>
      </c>
      <c r="H138" s="12">
        <v>905</v>
      </c>
      <c r="I138" s="13">
        <v>6277.1</v>
      </c>
      <c r="J138" s="13">
        <v>5882.5</v>
      </c>
    </row>
    <row r="139" spans="1:10" x14ac:dyDescent="0.2">
      <c r="A139" s="8" t="s">
        <v>106</v>
      </c>
      <c r="B139" s="8" t="s">
        <v>24</v>
      </c>
      <c r="C139" s="8" t="s">
        <v>25</v>
      </c>
      <c r="D139" s="8" t="s">
        <v>26</v>
      </c>
      <c r="E139" s="8" t="s">
        <v>27</v>
      </c>
      <c r="F139" s="8" t="s">
        <v>28</v>
      </c>
      <c r="G139" s="8" t="s">
        <v>29</v>
      </c>
      <c r="H139" s="9">
        <v>256</v>
      </c>
      <c r="I139" s="10">
        <v>43</v>
      </c>
      <c r="J139" s="10">
        <v>25.6</v>
      </c>
    </row>
    <row r="140" spans="1:10" x14ac:dyDescent="0.2">
      <c r="A140" s="11" t="s">
        <v>106</v>
      </c>
      <c r="B140" s="11" t="s">
        <v>24</v>
      </c>
      <c r="C140" s="11" t="s">
        <v>25</v>
      </c>
      <c r="D140" s="11" t="s">
        <v>26</v>
      </c>
      <c r="E140" s="11" t="s">
        <v>27</v>
      </c>
      <c r="F140" s="11" t="s">
        <v>30</v>
      </c>
      <c r="G140" s="11" t="s">
        <v>31</v>
      </c>
      <c r="H140" s="12">
        <v>116</v>
      </c>
      <c r="I140" s="13">
        <v>72</v>
      </c>
      <c r="J140" s="13">
        <v>17.399999999999999</v>
      </c>
    </row>
    <row r="141" spans="1:10" x14ac:dyDescent="0.2">
      <c r="A141" s="8" t="s">
        <v>106</v>
      </c>
      <c r="B141" s="8" t="s">
        <v>24</v>
      </c>
      <c r="C141" s="8" t="s">
        <v>25</v>
      </c>
      <c r="D141" s="8" t="s">
        <v>36</v>
      </c>
      <c r="E141" s="8" t="s">
        <v>37</v>
      </c>
      <c r="F141" s="8" t="s">
        <v>38</v>
      </c>
      <c r="G141" s="8" t="s">
        <v>39</v>
      </c>
      <c r="H141" s="9">
        <v>21</v>
      </c>
      <c r="I141" s="10">
        <v>8</v>
      </c>
      <c r="J141" s="10">
        <v>7.35</v>
      </c>
    </row>
    <row r="142" spans="1:10" x14ac:dyDescent="0.2">
      <c r="A142" s="11" t="s">
        <v>103</v>
      </c>
      <c r="B142" s="11" t="s">
        <v>95</v>
      </c>
      <c r="C142" s="11" t="s">
        <v>96</v>
      </c>
      <c r="D142" s="11" t="s">
        <v>56</v>
      </c>
      <c r="E142" s="11" t="s">
        <v>57</v>
      </c>
      <c r="F142" s="11" t="s">
        <v>125</v>
      </c>
      <c r="G142" s="11" t="s">
        <v>126</v>
      </c>
      <c r="H142" s="12">
        <v>519</v>
      </c>
      <c r="I142" s="13">
        <v>22350.6</v>
      </c>
      <c r="J142" s="13">
        <v>6747</v>
      </c>
    </row>
    <row r="143" spans="1:10" x14ac:dyDescent="0.2">
      <c r="A143" s="8" t="s">
        <v>92</v>
      </c>
      <c r="B143" s="8" t="s">
        <v>85</v>
      </c>
      <c r="C143" s="8" t="s">
        <v>86</v>
      </c>
      <c r="D143" s="8" t="s">
        <v>56</v>
      </c>
      <c r="E143" s="8" t="s">
        <v>57</v>
      </c>
      <c r="F143" s="8" t="s">
        <v>125</v>
      </c>
      <c r="G143" s="8" t="s">
        <v>126</v>
      </c>
      <c r="H143" s="9">
        <v>3</v>
      </c>
      <c r="I143" s="10">
        <v>135</v>
      </c>
      <c r="J143" s="10">
        <v>39</v>
      </c>
    </row>
    <row r="144" spans="1:10" x14ac:dyDescent="0.2">
      <c r="A144" s="8" t="s">
        <v>92</v>
      </c>
      <c r="B144" s="8" t="s">
        <v>101</v>
      </c>
      <c r="C144" s="8" t="s">
        <v>102</v>
      </c>
      <c r="D144" s="8" t="s">
        <v>56</v>
      </c>
      <c r="E144" s="8" t="s">
        <v>57</v>
      </c>
      <c r="F144" s="8" t="s">
        <v>125</v>
      </c>
      <c r="G144" s="8" t="s">
        <v>126</v>
      </c>
      <c r="H144" s="9">
        <v>6</v>
      </c>
      <c r="I144" s="10">
        <v>139.80000000000001</v>
      </c>
      <c r="J144" s="10">
        <v>78</v>
      </c>
    </row>
    <row r="145" spans="1:10" x14ac:dyDescent="0.2">
      <c r="A145" s="8" t="s">
        <v>106</v>
      </c>
      <c r="B145" s="8" t="s">
        <v>85</v>
      </c>
      <c r="C145" s="8" t="s">
        <v>86</v>
      </c>
      <c r="D145" s="8" t="s">
        <v>56</v>
      </c>
      <c r="E145" s="8" t="s">
        <v>57</v>
      </c>
      <c r="F145" s="8" t="s">
        <v>125</v>
      </c>
      <c r="G145" s="8" t="s">
        <v>126</v>
      </c>
      <c r="H145" s="9">
        <v>2</v>
      </c>
      <c r="I145" s="10">
        <v>54</v>
      </c>
      <c r="J145" s="10">
        <v>26</v>
      </c>
    </row>
    <row r="146" spans="1:10" x14ac:dyDescent="0.2">
      <c r="A146" s="11" t="s">
        <v>127</v>
      </c>
      <c r="B146" s="11" t="s">
        <v>24</v>
      </c>
      <c r="C146" s="11" t="s">
        <v>25</v>
      </c>
      <c r="D146" s="11" t="s">
        <v>36</v>
      </c>
      <c r="E146" s="11" t="s">
        <v>37</v>
      </c>
      <c r="F146" s="11" t="s">
        <v>38</v>
      </c>
      <c r="G146" s="11" t="s">
        <v>39</v>
      </c>
      <c r="H146" s="12">
        <v>15</v>
      </c>
      <c r="I146" s="13">
        <v>7</v>
      </c>
      <c r="J146" s="13">
        <v>5.25</v>
      </c>
    </row>
    <row r="147" spans="1:10" x14ac:dyDescent="0.2">
      <c r="A147" s="8" t="s">
        <v>127</v>
      </c>
      <c r="B147" s="8" t="s">
        <v>24</v>
      </c>
      <c r="C147" s="8" t="s">
        <v>25</v>
      </c>
      <c r="D147" s="8" t="s">
        <v>26</v>
      </c>
      <c r="E147" s="8" t="s">
        <v>27</v>
      </c>
      <c r="F147" s="8" t="s">
        <v>28</v>
      </c>
      <c r="G147" s="8" t="s">
        <v>29</v>
      </c>
      <c r="H147" s="9">
        <v>182</v>
      </c>
      <c r="I147" s="10">
        <v>34</v>
      </c>
      <c r="J147" s="10">
        <v>18.2</v>
      </c>
    </row>
    <row r="148" spans="1:10" x14ac:dyDescent="0.2">
      <c r="A148" s="11" t="s">
        <v>127</v>
      </c>
      <c r="B148" s="11" t="s">
        <v>24</v>
      </c>
      <c r="C148" s="11" t="s">
        <v>25</v>
      </c>
      <c r="D148" s="11" t="s">
        <v>26</v>
      </c>
      <c r="E148" s="11" t="s">
        <v>27</v>
      </c>
      <c r="F148" s="11" t="s">
        <v>30</v>
      </c>
      <c r="G148" s="11" t="s">
        <v>31</v>
      </c>
      <c r="H148" s="12">
        <v>190</v>
      </c>
      <c r="I148" s="13">
        <v>123</v>
      </c>
      <c r="J148" s="13">
        <v>28.5</v>
      </c>
    </row>
    <row r="149" spans="1:10" x14ac:dyDescent="0.2">
      <c r="A149" s="14"/>
      <c r="B149" s="14"/>
      <c r="C149" s="14"/>
      <c r="D149" s="14"/>
      <c r="E149" s="14"/>
      <c r="F149" s="14"/>
      <c r="G149" s="14" t="s">
        <v>128</v>
      </c>
      <c r="H149" s="15">
        <v>1989387</v>
      </c>
      <c r="I149" s="16">
        <v>18014000.101</v>
      </c>
      <c r="J149" s="16">
        <v>16869558.050000001</v>
      </c>
    </row>
  </sheetData>
  <autoFilter ref="A12:J149" xr:uid="{00000000-0009-0000-0000-000000000000}"/>
  <mergeCells count="2">
    <mergeCell ref="A1:I1"/>
    <mergeCell ref="A2:I2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"/>
  <sheetViews>
    <sheetView zoomScaleNormal="100" workbookViewId="0">
      <pane ySplit="5" topLeftCell="A15" activePane="bottomLeft" state="frozen"/>
      <selection pane="bottomLeft" activeCell="H26" sqref="H26"/>
    </sheetView>
  </sheetViews>
  <sheetFormatPr baseColWidth="10" defaultColWidth="8.6640625" defaultRowHeight="15" x14ac:dyDescent="0.2"/>
  <cols>
    <col min="1" max="1" width="75" customWidth="1"/>
    <col min="2" max="2" width="42" customWidth="1"/>
    <col min="3" max="3" width="16" customWidth="1"/>
    <col min="4" max="4" width="14" customWidth="1"/>
    <col min="5" max="5" width="16" customWidth="1"/>
  </cols>
  <sheetData>
    <row r="1" spans="1:3" ht="18" customHeight="1" x14ac:dyDescent="0.2">
      <c r="A1" s="17" t="s">
        <v>129</v>
      </c>
    </row>
    <row r="3" spans="1:3" x14ac:dyDescent="0.2">
      <c r="A3" s="18" t="s">
        <v>130</v>
      </c>
      <c r="B3" s="19">
        <f>SUM('Raport EEE'!$I$13:$I$148)</f>
        <v>18014000.100999996</v>
      </c>
    </row>
    <row r="5" spans="1:3" ht="15.75" customHeight="1" x14ac:dyDescent="0.2">
      <c r="A5" s="20" t="s">
        <v>131</v>
      </c>
    </row>
    <row r="6" spans="1:3" x14ac:dyDescent="0.2">
      <c r="A6" s="21" t="s">
        <v>14</v>
      </c>
      <c r="B6" s="21" t="s">
        <v>21</v>
      </c>
      <c r="C6" s="21" t="s">
        <v>132</v>
      </c>
    </row>
    <row r="7" spans="1:3" x14ac:dyDescent="0.2">
      <c r="A7" s="22" t="s">
        <v>123</v>
      </c>
      <c r="B7" s="23">
        <f>SUMIF('Raport EEE'!$B$13:$B$148,$A7,'Raport EEE'!$I$13:$I$148)</f>
        <v>3940298</v>
      </c>
      <c r="C7" s="24">
        <f t="shared" ref="C7:C20" si="0">IF($B$3=0,0,B7/$B$3)</f>
        <v>0.21873531574929134</v>
      </c>
    </row>
    <row r="8" spans="1:3" x14ac:dyDescent="0.2">
      <c r="A8" s="22" t="s">
        <v>54</v>
      </c>
      <c r="B8" s="23">
        <f>SUMIF('Raport EEE'!$B$13:$B$148,$A8,'Raport EEE'!$I$13:$I$148)</f>
        <v>1566730.27</v>
      </c>
      <c r="C8" s="24">
        <f t="shared" si="0"/>
        <v>8.6972924459627787E-2</v>
      </c>
    </row>
    <row r="9" spans="1:3" x14ac:dyDescent="0.2">
      <c r="A9" s="22" t="s">
        <v>24</v>
      </c>
      <c r="B9" s="23">
        <f>SUMIF('Raport EEE'!$B$13:$B$148,$A9,'Raport EEE'!$I$13:$I$148)</f>
        <v>673</v>
      </c>
      <c r="C9" s="24">
        <f t="shared" si="0"/>
        <v>3.7359831032899809E-5</v>
      </c>
    </row>
    <row r="10" spans="1:3" x14ac:dyDescent="0.2">
      <c r="A10" s="22" t="s">
        <v>101</v>
      </c>
      <c r="B10" s="23">
        <f>SUMIF('Raport EEE'!$B$13:$B$148,$A10,'Raport EEE'!$I$13:$I$148)</f>
        <v>364.34000000000003</v>
      </c>
      <c r="C10" s="24">
        <f t="shared" si="0"/>
        <v>2.0225380146399284E-5</v>
      </c>
    </row>
    <row r="11" spans="1:3" x14ac:dyDescent="0.2">
      <c r="A11" s="22" t="s">
        <v>99</v>
      </c>
      <c r="B11" s="23">
        <f>SUMIF('Raport EEE'!$B$13:$B$148,$A11,'Raport EEE'!$I$13:$I$148)</f>
        <v>10787400</v>
      </c>
      <c r="C11" s="24">
        <f t="shared" si="0"/>
        <v>0.59883423667801405</v>
      </c>
    </row>
    <row r="12" spans="1:3" x14ac:dyDescent="0.2">
      <c r="A12" s="22" t="s">
        <v>50</v>
      </c>
      <c r="B12" s="23">
        <f>SUMIF('Raport EEE'!$B$13:$B$148,$A12,'Raport EEE'!$I$13:$I$148)</f>
        <v>285326.76999999996</v>
      </c>
      <c r="C12" s="24">
        <f t="shared" si="0"/>
        <v>1.5839167780628625E-2</v>
      </c>
    </row>
    <row r="13" spans="1:3" x14ac:dyDescent="0.2">
      <c r="A13" s="22" t="s">
        <v>61</v>
      </c>
      <c r="B13" s="23">
        <f>SUMIF('Raport EEE'!$B$13:$B$148,$A13,'Raport EEE'!$I$13:$I$148)</f>
        <v>36</v>
      </c>
      <c r="C13" s="24">
        <f t="shared" si="0"/>
        <v>1.9984456421759186E-6</v>
      </c>
    </row>
    <row r="14" spans="1:3" x14ac:dyDescent="0.2">
      <c r="A14" s="22" t="s">
        <v>109</v>
      </c>
      <c r="B14" s="23">
        <f>SUMIF('Raport EEE'!$B$13:$B$148,$A14,'Raport EEE'!$I$13:$I$148)</f>
        <v>32988</v>
      </c>
      <c r="C14" s="24">
        <f t="shared" si="0"/>
        <v>1.8312423567805334E-3</v>
      </c>
    </row>
    <row r="15" spans="1:3" x14ac:dyDescent="0.2">
      <c r="A15" s="22" t="s">
        <v>44</v>
      </c>
      <c r="B15" s="23">
        <f>SUMIF('Raport EEE'!$B$13:$B$148,$A15,'Raport EEE'!$I$13:$I$148)</f>
        <v>1049.73</v>
      </c>
      <c r="C15" s="24">
        <f t="shared" si="0"/>
        <v>5.8273009554481307E-5</v>
      </c>
    </row>
    <row r="16" spans="1:3" x14ac:dyDescent="0.2">
      <c r="A16" s="22" t="s">
        <v>95</v>
      </c>
      <c r="B16" s="23">
        <f>SUMIF('Raport EEE'!$B$13:$B$148,$A16,'Raport EEE'!$I$13:$I$148)</f>
        <v>56324.6</v>
      </c>
      <c r="C16" s="24">
        <f t="shared" si="0"/>
        <v>3.1267125393694929E-3</v>
      </c>
    </row>
    <row r="17" spans="1:4" x14ac:dyDescent="0.2">
      <c r="A17" s="22" t="s">
        <v>81</v>
      </c>
      <c r="B17" s="23">
        <f>SUMIF('Raport EEE'!$B$13:$B$148,$A17,'Raport EEE'!$I$13:$I$148)</f>
        <v>27242.861000000001</v>
      </c>
      <c r="C17" s="24">
        <f t="shared" si="0"/>
        <v>1.5123160234959525E-3</v>
      </c>
    </row>
    <row r="18" spans="1:4" x14ac:dyDescent="0.2">
      <c r="A18" s="22" t="s">
        <v>85</v>
      </c>
      <c r="B18" s="23">
        <f>SUMIF('Raport EEE'!$B$13:$B$148,$A18,'Raport EEE'!$I$13:$I$148)</f>
        <v>4533.3</v>
      </c>
      <c r="C18" s="24">
        <f t="shared" si="0"/>
        <v>2.5165426749100257E-4</v>
      </c>
    </row>
    <row r="19" spans="1:4" x14ac:dyDescent="0.2">
      <c r="A19" s="22" t="s">
        <v>104</v>
      </c>
      <c r="B19" s="23">
        <f>SUMIF('Raport EEE'!$B$13:$B$148,$A19,'Raport EEE'!$I$13:$I$148)</f>
        <v>1310794</v>
      </c>
      <c r="C19" s="24">
        <f t="shared" si="0"/>
        <v>7.276529325250948E-2</v>
      </c>
    </row>
    <row r="20" spans="1:4" x14ac:dyDescent="0.2">
      <c r="A20" s="22" t="s">
        <v>40</v>
      </c>
      <c r="B20" s="23">
        <f>SUMIF('Raport EEE'!$B$13:$B$148,$A20,'Raport EEE'!$I$13:$I$148)</f>
        <v>239.23000000000002</v>
      </c>
      <c r="C20" s="24">
        <f t="shared" si="0"/>
        <v>1.3280226416048474E-5</v>
      </c>
    </row>
    <row r="21" spans="1:4" x14ac:dyDescent="0.2">
      <c r="A21" s="25" t="s">
        <v>133</v>
      </c>
      <c r="B21" s="26">
        <f>SUM(B7:B20)</f>
        <v>18014000.101</v>
      </c>
      <c r="C21" s="27">
        <f>SUM(C7:C20)</f>
        <v>1.0000000000000004</v>
      </c>
    </row>
    <row r="24" spans="1:4" ht="15.75" customHeight="1" x14ac:dyDescent="0.2">
      <c r="A24" s="20" t="s">
        <v>134</v>
      </c>
    </row>
    <row r="25" spans="1:4" x14ac:dyDescent="0.2">
      <c r="A25" s="21" t="s">
        <v>17</v>
      </c>
      <c r="B25" s="21" t="s">
        <v>21</v>
      </c>
      <c r="C25" s="21" t="s">
        <v>132</v>
      </c>
      <c r="D25" s="21" t="s">
        <v>135</v>
      </c>
    </row>
    <row r="26" spans="1:4" x14ac:dyDescent="0.2">
      <c r="A26" s="22" t="s">
        <v>136</v>
      </c>
      <c r="B26" s="23">
        <v>977.73</v>
      </c>
      <c r="C26" s="24">
        <f t="shared" ref="C26:C31" si="1">IF($B$3=0,0,B26/$B$3)</f>
        <v>5.4276118270129469E-5</v>
      </c>
      <c r="D26" s="22" t="s">
        <v>46</v>
      </c>
    </row>
    <row r="27" spans="1:4" x14ac:dyDescent="0.2">
      <c r="A27" s="22" t="s">
        <v>137</v>
      </c>
      <c r="B27" s="23">
        <v>301.82</v>
      </c>
      <c r="C27" s="24">
        <f t="shared" si="1"/>
        <v>1.6754746214487102E-5</v>
      </c>
      <c r="D27" s="22" t="s">
        <v>36</v>
      </c>
    </row>
    <row r="28" spans="1:4" x14ac:dyDescent="0.2">
      <c r="A28" s="22" t="s">
        <v>138</v>
      </c>
      <c r="B28" s="23">
        <v>1620533.49</v>
      </c>
      <c r="C28" s="24">
        <f t="shared" si="1"/>
        <v>8.9959669196962022E-2</v>
      </c>
      <c r="D28" s="22" t="s">
        <v>56</v>
      </c>
    </row>
    <row r="29" spans="1:4" x14ac:dyDescent="0.2">
      <c r="A29" s="22" t="s">
        <v>139</v>
      </c>
      <c r="B29" s="23">
        <v>16040907</v>
      </c>
      <c r="C29" s="24">
        <f t="shared" si="1"/>
        <v>0.89046890807497747</v>
      </c>
      <c r="D29" s="22" t="s">
        <v>89</v>
      </c>
    </row>
    <row r="30" spans="1:4" x14ac:dyDescent="0.2">
      <c r="A30" s="22" t="s">
        <v>140</v>
      </c>
      <c r="B30" s="23">
        <v>342940.56</v>
      </c>
      <c r="C30" s="24">
        <f t="shared" si="1"/>
        <v>1.9037446323815811E-2</v>
      </c>
      <c r="D30" s="22" t="s">
        <v>26</v>
      </c>
    </row>
    <row r="31" spans="1:4" x14ac:dyDescent="0.2">
      <c r="A31" s="22" t="s">
        <v>141</v>
      </c>
      <c r="B31" s="23">
        <v>8339.5</v>
      </c>
      <c r="C31" s="24">
        <f t="shared" si="1"/>
        <v>4.6294548424794646E-4</v>
      </c>
      <c r="D31" s="22" t="s">
        <v>111</v>
      </c>
    </row>
    <row r="32" spans="1:4" x14ac:dyDescent="0.2">
      <c r="A32" s="25" t="s">
        <v>133</v>
      </c>
      <c r="B32" s="26">
        <f>SUM(B26:B31)</f>
        <v>18014000.099999998</v>
      </c>
      <c r="C32" s="27">
        <f>SUM(C26:C31)</f>
        <v>0.99999999994448785</v>
      </c>
    </row>
    <row r="35" spans="1:5" ht="15.75" customHeight="1" x14ac:dyDescent="0.2">
      <c r="A35" s="20" t="s">
        <v>142</v>
      </c>
    </row>
    <row r="36" spans="1:5" ht="30" customHeight="1" x14ac:dyDescent="0.2">
      <c r="A36" s="21" t="s">
        <v>17</v>
      </c>
      <c r="B36" s="21" t="s">
        <v>14</v>
      </c>
      <c r="C36" s="21" t="s">
        <v>21</v>
      </c>
      <c r="D36" s="21" t="s">
        <v>143</v>
      </c>
      <c r="E36" s="21" t="s">
        <v>144</v>
      </c>
    </row>
    <row r="37" spans="1:5" x14ac:dyDescent="0.2">
      <c r="A37" s="22" t="s">
        <v>47</v>
      </c>
      <c r="B37" s="22" t="s">
        <v>44</v>
      </c>
      <c r="C37" s="23">
        <f>SUMIFS('Raport EEE'!$I$13:$I$148,'Raport EEE'!$E$13:$E$148,$A37,'Raport EEE'!$B$13:$B$148,$B37)</f>
        <v>977.73</v>
      </c>
      <c r="D37" s="24">
        <f>IF($B$26=0,0,C37/$B$26)</f>
        <v>1</v>
      </c>
      <c r="E37" s="24">
        <f>IF($B$3=0,0,C37/$B$3)</f>
        <v>5.4276118270129469E-5</v>
      </c>
    </row>
    <row r="38" spans="1:5" x14ac:dyDescent="0.2">
      <c r="A38" s="25" t="s">
        <v>145</v>
      </c>
      <c r="B38" s="25" t="s">
        <v>47</v>
      </c>
      <c r="C38" s="26">
        <f>SUM(C37:C37)</f>
        <v>977.73</v>
      </c>
      <c r="D38" s="27">
        <f>SUM(D37:D37)</f>
        <v>1</v>
      </c>
      <c r="E38" s="27">
        <f>SUM(E37:E37)</f>
        <v>5.4276118270129469E-5</v>
      </c>
    </row>
    <row r="40" spans="1:5" x14ac:dyDescent="0.2">
      <c r="A40" s="22" t="s">
        <v>37</v>
      </c>
      <c r="B40" s="22" t="s">
        <v>40</v>
      </c>
      <c r="C40" s="23">
        <f>SUMIFS('Raport EEE'!$I$13:$I$148,'Raport EEE'!$E$13:$E$148,$A40,'Raport EEE'!$B$13:$B$148,$B40)</f>
        <v>239.23000000000002</v>
      </c>
      <c r="D40" s="24">
        <f>IF($B$27=0,0,C40/$B$27)</f>
        <v>0.79262474322443843</v>
      </c>
      <c r="E40" s="24">
        <f>IF($B$3=0,0,C40/$B$3)</f>
        <v>1.3280226416048474E-5</v>
      </c>
    </row>
    <row r="41" spans="1:5" x14ac:dyDescent="0.2">
      <c r="A41" s="22" t="s">
        <v>37</v>
      </c>
      <c r="B41" s="22" t="s">
        <v>24</v>
      </c>
      <c r="C41" s="23">
        <f>SUMIFS('Raport EEE'!$I$13:$I$148,'Raport EEE'!$E$13:$E$148,$A41,'Raport EEE'!$B$13:$B$148,$B41)</f>
        <v>35</v>
      </c>
      <c r="D41" s="24">
        <f>IF($B$27=0,0,C41/$B$27)</f>
        <v>0.11596315684845272</v>
      </c>
      <c r="E41" s="24">
        <f>IF($B$3=0,0,C41/$B$3)</f>
        <v>1.9429332632265874E-6</v>
      </c>
    </row>
    <row r="42" spans="1:5" x14ac:dyDescent="0.2">
      <c r="A42" s="22" t="s">
        <v>37</v>
      </c>
      <c r="B42" s="22" t="s">
        <v>81</v>
      </c>
      <c r="C42" s="23">
        <f>SUMIFS('Raport EEE'!$I$13:$I$148,'Raport EEE'!$E$13:$E$148,$A42,'Raport EEE'!$B$13:$B$148,$B42)</f>
        <v>27.59</v>
      </c>
      <c r="D42" s="24">
        <f>IF($B$27=0,0,C42/$B$27)</f>
        <v>9.1412099927108872E-2</v>
      </c>
      <c r="E42" s="24">
        <f>IF($B$3=0,0,C42/$B$3)</f>
        <v>1.5315865352120444E-6</v>
      </c>
    </row>
    <row r="43" spans="1:5" x14ac:dyDescent="0.2">
      <c r="A43" s="25" t="s">
        <v>145</v>
      </c>
      <c r="B43" s="25" t="s">
        <v>37</v>
      </c>
      <c r="C43" s="26">
        <f>SUM(C40:C42)</f>
        <v>301.82</v>
      </c>
      <c r="D43" s="27">
        <f>SUM(D40:D42)</f>
        <v>1</v>
      </c>
      <c r="E43" s="27">
        <f>SUM(E40:E42)</f>
        <v>1.6754746214487106E-5</v>
      </c>
    </row>
    <row r="45" spans="1:5" x14ac:dyDescent="0.2">
      <c r="A45" s="22" t="s">
        <v>57</v>
      </c>
      <c r="B45" s="22" t="s">
        <v>54</v>
      </c>
      <c r="C45" s="23">
        <f>SUMIFS('Raport EEE'!$I$13:$I$148,'Raport EEE'!$E$13:$E$148,$A45,'Raport EEE'!$B$13:$B$148,$B45)</f>
        <v>1537289.19</v>
      </c>
      <c r="D45" s="24">
        <f t="shared" ref="D45:D53" si="2">IF($B$28=0,0,C45/$B$28)</f>
        <v>0.94863154602253852</v>
      </c>
      <c r="E45" s="24">
        <f t="shared" ref="E45:E53" si="3">IF($B$3=0,0,C45/$B$3)</f>
        <v>8.5338580069990219E-2</v>
      </c>
    </row>
    <row r="46" spans="1:5" x14ac:dyDescent="0.2">
      <c r="A46" s="22" t="s">
        <v>57</v>
      </c>
      <c r="B46" s="22" t="s">
        <v>95</v>
      </c>
      <c r="C46" s="23">
        <f>SUMIFS('Raport EEE'!$I$13:$I$148,'Raport EEE'!$E$13:$E$148,$A46,'Raport EEE'!$B$13:$B$148,$B46)</f>
        <v>56324.6</v>
      </c>
      <c r="D46" s="24">
        <f t="shared" si="2"/>
        <v>3.4756825667330085E-2</v>
      </c>
      <c r="E46" s="24">
        <f t="shared" si="3"/>
        <v>3.1267125393694929E-3</v>
      </c>
    </row>
    <row r="47" spans="1:5" x14ac:dyDescent="0.2">
      <c r="A47" s="22" t="s">
        <v>57</v>
      </c>
      <c r="B47" s="22" t="s">
        <v>123</v>
      </c>
      <c r="C47" s="23">
        <f>SUMIFS('Raport EEE'!$I$13:$I$148,'Raport EEE'!$E$13:$E$148,$A47,'Raport EEE'!$B$13:$B$148,$B47)</f>
        <v>15776</v>
      </c>
      <c r="D47" s="24">
        <f t="shared" si="2"/>
        <v>9.7350657035788872E-3</v>
      </c>
      <c r="E47" s="24">
        <f t="shared" si="3"/>
        <v>8.7576329030464696E-4</v>
      </c>
    </row>
    <row r="48" spans="1:5" x14ac:dyDescent="0.2">
      <c r="A48" s="22" t="s">
        <v>57</v>
      </c>
      <c r="B48" s="22" t="s">
        <v>104</v>
      </c>
      <c r="C48" s="23">
        <f>SUMIFS('Raport EEE'!$I$13:$I$148,'Raport EEE'!$E$13:$E$148,$A48,'Raport EEE'!$B$13:$B$148,$B48)</f>
        <v>6136</v>
      </c>
      <c r="D48" s="24">
        <f t="shared" si="2"/>
        <v>3.7864074009356019E-3</v>
      </c>
      <c r="E48" s="24">
        <f t="shared" si="3"/>
        <v>3.4062395723309544E-4</v>
      </c>
    </row>
    <row r="49" spans="1:5" x14ac:dyDescent="0.2">
      <c r="A49" s="22" t="s">
        <v>57</v>
      </c>
      <c r="B49" s="22" t="s">
        <v>85</v>
      </c>
      <c r="C49" s="23">
        <f>SUMIFS('Raport EEE'!$I$13:$I$148,'Raport EEE'!$E$13:$E$148,$A49,'Raport EEE'!$B$13:$B$148,$B49)</f>
        <v>3971</v>
      </c>
      <c r="D49" s="24">
        <f t="shared" si="2"/>
        <v>2.4504276057880172E-3</v>
      </c>
      <c r="E49" s="24">
        <f t="shared" si="3"/>
        <v>2.2043965680779368E-4</v>
      </c>
    </row>
    <row r="50" spans="1:5" x14ac:dyDescent="0.2">
      <c r="A50" s="22" t="s">
        <v>57</v>
      </c>
      <c r="B50" s="22" t="s">
        <v>81</v>
      </c>
      <c r="C50" s="23">
        <f>SUMIFS('Raport EEE'!$I$13:$I$148,'Raport EEE'!$E$13:$E$148,$A50,'Raport EEE'!$B$13:$B$148,$B50)</f>
        <v>675</v>
      </c>
      <c r="D50" s="24">
        <f t="shared" si="2"/>
        <v>4.1652949733238774E-4</v>
      </c>
      <c r="E50" s="24">
        <f t="shared" si="3"/>
        <v>3.7470855790798475E-5</v>
      </c>
    </row>
    <row r="51" spans="1:5" x14ac:dyDescent="0.2">
      <c r="A51" s="22" t="s">
        <v>57</v>
      </c>
      <c r="B51" s="22" t="s">
        <v>101</v>
      </c>
      <c r="C51" s="23">
        <f>SUMIFS('Raport EEE'!$I$13:$I$148,'Raport EEE'!$E$13:$E$148,$A51,'Raport EEE'!$B$13:$B$148,$B51)</f>
        <v>253.70000000000002</v>
      </c>
      <c r="D51" s="24">
        <f t="shared" si="2"/>
        <v>1.5655338292329892E-4</v>
      </c>
      <c r="E51" s="24">
        <f t="shared" si="3"/>
        <v>1.4083490539445293E-5</v>
      </c>
    </row>
    <row r="52" spans="1:5" x14ac:dyDescent="0.2">
      <c r="A52" s="22" t="s">
        <v>57</v>
      </c>
      <c r="B52" s="22" t="s">
        <v>44</v>
      </c>
      <c r="C52" s="23">
        <f>SUMIFS('Raport EEE'!$I$13:$I$148,'Raport EEE'!$E$13:$E$148,$A52,'Raport EEE'!$B$13:$B$148,$B52)</f>
        <v>72</v>
      </c>
      <c r="D52" s="24">
        <f t="shared" si="2"/>
        <v>4.4429813048788029E-5</v>
      </c>
      <c r="E52" s="24">
        <f t="shared" si="3"/>
        <v>3.9968912843518371E-6</v>
      </c>
    </row>
    <row r="53" spans="1:5" x14ac:dyDescent="0.2">
      <c r="A53" s="22" t="s">
        <v>57</v>
      </c>
      <c r="B53" s="22" t="s">
        <v>61</v>
      </c>
      <c r="C53" s="23">
        <f>SUMIFS('Raport EEE'!$I$13:$I$148,'Raport EEE'!$E$13:$E$148,$A53,'Raport EEE'!$B$13:$B$148,$B53)</f>
        <v>36</v>
      </c>
      <c r="D53" s="24">
        <f t="shared" si="2"/>
        <v>2.2214906524394014E-5</v>
      </c>
      <c r="E53" s="24">
        <f t="shared" si="3"/>
        <v>1.9984456421759186E-6</v>
      </c>
    </row>
    <row r="54" spans="1:5" x14ac:dyDescent="0.2">
      <c r="A54" s="25" t="s">
        <v>145</v>
      </c>
      <c r="B54" s="25" t="s">
        <v>57</v>
      </c>
      <c r="C54" s="26">
        <f>SUM(C45:C53)</f>
        <v>1620533.49</v>
      </c>
      <c r="D54" s="27">
        <f>SUM(D45:D53)</f>
        <v>1</v>
      </c>
      <c r="E54" s="27">
        <f>SUM(E45:E53)</f>
        <v>8.9959669196962022E-2</v>
      </c>
    </row>
    <row r="56" spans="1:5" x14ac:dyDescent="0.2">
      <c r="A56" s="22" t="s">
        <v>90</v>
      </c>
      <c r="B56" s="22" t="s">
        <v>99</v>
      </c>
      <c r="C56" s="23">
        <f>SUMIFS('Raport EEE'!$I$13:$I$148,'Raport EEE'!$E$13:$E$148,$A56,'Raport EEE'!$B$13:$B$148,$B56)</f>
        <v>10787400</v>
      </c>
      <c r="D56" s="24">
        <f>IF($B$29=0,0,C56/$B$29)</f>
        <v>0.67249314518187786</v>
      </c>
      <c r="E56" s="24">
        <f>IF($B$3=0,0,C56/$B$3)</f>
        <v>0.59883423667801405</v>
      </c>
    </row>
    <row r="57" spans="1:5" x14ac:dyDescent="0.2">
      <c r="A57" s="22" t="s">
        <v>90</v>
      </c>
      <c r="B57" s="22" t="s">
        <v>123</v>
      </c>
      <c r="C57" s="23">
        <f>SUMIFS('Raport EEE'!$I$13:$I$148,'Raport EEE'!$E$13:$E$148,$A57,'Raport EEE'!$B$13:$B$148,$B57)</f>
        <v>3924522</v>
      </c>
      <c r="D57" s="24">
        <f>IF($B$29=0,0,C57/$B$29)</f>
        <v>0.24465711321685238</v>
      </c>
      <c r="E57" s="24">
        <f>IF($B$3=0,0,C57/$B$3)</f>
        <v>0.21785955245898669</v>
      </c>
    </row>
    <row r="58" spans="1:5" x14ac:dyDescent="0.2">
      <c r="A58" s="22" t="s">
        <v>90</v>
      </c>
      <c r="B58" s="22" t="s">
        <v>104</v>
      </c>
      <c r="C58" s="23">
        <f>SUMIFS('Raport EEE'!$I$13:$I$148,'Raport EEE'!$E$13:$E$148,$A58,'Raport EEE'!$B$13:$B$148,$B58)</f>
        <v>1304658</v>
      </c>
      <c r="D58" s="24">
        <f>IF($B$29=0,0,C58/$B$29)</f>
        <v>8.1333181471596336E-2</v>
      </c>
      <c r="E58" s="24">
        <f>IF($B$3=0,0,C58/$B$3)</f>
        <v>7.2424669295276384E-2</v>
      </c>
    </row>
    <row r="59" spans="1:5" x14ac:dyDescent="0.2">
      <c r="A59" s="22" t="s">
        <v>90</v>
      </c>
      <c r="B59" s="22" t="s">
        <v>81</v>
      </c>
      <c r="C59" s="23">
        <f>SUMIFS('Raport EEE'!$I$13:$I$148,'Raport EEE'!$E$13:$E$148,$A59,'Raport EEE'!$B$13:$B$148,$B59)</f>
        <v>24066</v>
      </c>
      <c r="D59" s="24">
        <f>IF($B$29=0,0,C59/$B$29)</f>
        <v>1.5002892292811122E-3</v>
      </c>
      <c r="E59" s="24">
        <f>IF($B$3=0,0,C59/$B$3)</f>
        <v>1.3359609117946016E-3</v>
      </c>
    </row>
    <row r="60" spans="1:5" x14ac:dyDescent="0.2">
      <c r="A60" s="22" t="s">
        <v>90</v>
      </c>
      <c r="B60" s="22" t="s">
        <v>109</v>
      </c>
      <c r="C60" s="23">
        <f>SUMIFS('Raport EEE'!$I$13:$I$148,'Raport EEE'!$E$13:$E$148,$A60,'Raport EEE'!$B$13:$B$148,$B60)</f>
        <v>261</v>
      </c>
      <c r="D60" s="24">
        <f>IF($B$29=0,0,C60/$B$29)</f>
        <v>1.6270900392353126E-5</v>
      </c>
      <c r="E60" s="24">
        <f>IF($B$3=0,0,C60/$B$3)</f>
        <v>1.448873090577541E-5</v>
      </c>
    </row>
    <row r="61" spans="1:5" x14ac:dyDescent="0.2">
      <c r="A61" s="25" t="s">
        <v>145</v>
      </c>
      <c r="B61" s="25" t="s">
        <v>90</v>
      </c>
      <c r="C61" s="26">
        <f>SUM(C56:C60)</f>
        <v>16040907</v>
      </c>
      <c r="D61" s="27">
        <f>SUM(D56:D60)</f>
        <v>1</v>
      </c>
      <c r="E61" s="27">
        <f>SUM(E56:E60)</f>
        <v>0.89046890807497747</v>
      </c>
    </row>
    <row r="63" spans="1:5" x14ac:dyDescent="0.2">
      <c r="A63" s="22" t="s">
        <v>27</v>
      </c>
      <c r="B63" s="22" t="s">
        <v>50</v>
      </c>
      <c r="C63" s="23">
        <f>SUMIFS('Raport EEE'!$I$13:$I$148,'Raport EEE'!$E$13:$E$148,$A63,'Raport EEE'!$B$13:$B$148,$B63)</f>
        <v>285326.76999999996</v>
      </c>
      <c r="D63" s="24">
        <f t="shared" ref="D63:D69" si="4">IF($B$30=0,0,C63/$B$30)</f>
        <v>0.83200065340769247</v>
      </c>
      <c r="E63" s="24">
        <f t="shared" ref="E63:E69" si="5">IF($B$3=0,0,C63/$B$3)</f>
        <v>1.5839167780628625E-2</v>
      </c>
    </row>
    <row r="64" spans="1:5" x14ac:dyDescent="0.2">
      <c r="A64" s="22" t="s">
        <v>27</v>
      </c>
      <c r="B64" s="22" t="s">
        <v>54</v>
      </c>
      <c r="C64" s="23">
        <f>SUMIFS('Raport EEE'!$I$13:$I$148,'Raport EEE'!$E$13:$E$148,$A64,'Raport EEE'!$B$13:$B$148,$B64)</f>
        <v>29441.079999999998</v>
      </c>
      <c r="D64" s="24">
        <f t="shared" si="4"/>
        <v>8.5848929622089606E-2</v>
      </c>
      <c r="E64" s="24">
        <f t="shared" si="5"/>
        <v>1.634344389637572E-3</v>
      </c>
    </row>
    <row r="65" spans="1:5" x14ac:dyDescent="0.2">
      <c r="A65" s="22" t="s">
        <v>27</v>
      </c>
      <c r="B65" s="22" t="s">
        <v>109</v>
      </c>
      <c r="C65" s="23">
        <f>SUMIFS('Raport EEE'!$I$13:$I$148,'Raport EEE'!$E$13:$E$148,$A65,'Raport EEE'!$B$13:$B$148,$B65)</f>
        <v>24387.5</v>
      </c>
      <c r="D65" s="24">
        <f t="shared" si="4"/>
        <v>7.1112906563166517E-2</v>
      </c>
      <c r="E65" s="24">
        <f t="shared" si="5"/>
        <v>1.3538081416268116E-3</v>
      </c>
    </row>
    <row r="66" spans="1:5" x14ac:dyDescent="0.2">
      <c r="A66" s="22" t="s">
        <v>27</v>
      </c>
      <c r="B66" s="22" t="s">
        <v>81</v>
      </c>
      <c r="C66" s="23">
        <f>SUMIFS('Raport EEE'!$I$13:$I$148,'Raport EEE'!$E$13:$E$148,$A66,'Raport EEE'!$B$13:$B$148,$B66)</f>
        <v>2474.2710000000002</v>
      </c>
      <c r="D66" s="24">
        <f t="shared" si="4"/>
        <v>7.214868372524965E-3</v>
      </c>
      <c r="E66" s="24">
        <f t="shared" si="5"/>
        <v>1.3735266937534035E-4</v>
      </c>
    </row>
    <row r="67" spans="1:5" x14ac:dyDescent="0.2">
      <c r="A67" s="22" t="s">
        <v>27</v>
      </c>
      <c r="B67" s="22" t="s">
        <v>24</v>
      </c>
      <c r="C67" s="23">
        <f>SUMIFS('Raport EEE'!$I$13:$I$148,'Raport EEE'!$E$13:$E$148,$A67,'Raport EEE'!$B$13:$B$148,$B67)</f>
        <v>638</v>
      </c>
      <c r="D67" s="24">
        <f t="shared" si="4"/>
        <v>1.8603807027083644E-3</v>
      </c>
      <c r="E67" s="24">
        <f t="shared" si="5"/>
        <v>3.5416897769673226E-5</v>
      </c>
    </row>
    <row r="68" spans="1:5" x14ac:dyDescent="0.2">
      <c r="A68" s="22" t="s">
        <v>27</v>
      </c>
      <c r="B68" s="22" t="s">
        <v>85</v>
      </c>
      <c r="C68" s="23">
        <f>SUMIFS('Raport EEE'!$I$13:$I$148,'Raport EEE'!$E$13:$E$148,$A68,'Raport EEE'!$B$13:$B$148,$B68)</f>
        <v>562.29999999999995</v>
      </c>
      <c r="D68" s="24">
        <f t="shared" si="4"/>
        <v>1.6396427415876383E-3</v>
      </c>
      <c r="E68" s="24">
        <f t="shared" si="5"/>
        <v>3.1214610683208859E-5</v>
      </c>
    </row>
    <row r="69" spans="1:5" x14ac:dyDescent="0.2">
      <c r="A69" s="22" t="s">
        <v>27</v>
      </c>
      <c r="B69" s="22" t="s">
        <v>101</v>
      </c>
      <c r="C69" s="23">
        <f>SUMIFS('Raport EEE'!$I$13:$I$148,'Raport EEE'!$E$13:$E$148,$A69,'Raport EEE'!$B$13:$B$148,$B69)</f>
        <v>110.64</v>
      </c>
      <c r="D69" s="24">
        <f t="shared" si="4"/>
        <v>3.2262150618754456E-4</v>
      </c>
      <c r="E69" s="24">
        <f t="shared" si="5"/>
        <v>6.1418896069539897E-6</v>
      </c>
    </row>
    <row r="70" spans="1:5" x14ac:dyDescent="0.2">
      <c r="A70" s="25" t="s">
        <v>145</v>
      </c>
      <c r="B70" s="25" t="s">
        <v>27</v>
      </c>
      <c r="C70" s="26">
        <f>SUM(C63:C69)</f>
        <v>342940.56099999999</v>
      </c>
      <c r="D70" s="27">
        <f>SUM(D63:D69)</f>
        <v>1.000000002915957</v>
      </c>
      <c r="E70" s="27">
        <f>SUM(E63:E69)</f>
        <v>1.903744637932819E-2</v>
      </c>
    </row>
    <row r="72" spans="1:5" x14ac:dyDescent="0.2">
      <c r="A72" s="22" t="s">
        <v>112</v>
      </c>
      <c r="B72" s="22" t="s">
        <v>109</v>
      </c>
      <c r="C72" s="23">
        <f>SUMIFS('Raport EEE'!$I$13:$I$148,'Raport EEE'!$E$13:$E$148,$A72,'Raport EEE'!$B$13:$B$148,$B72)</f>
        <v>8339.5</v>
      </c>
      <c r="D72" s="24">
        <f>IF($B$31=0,0,C72/$B$31)</f>
        <v>1</v>
      </c>
      <c r="E72" s="24">
        <f>IF($B$3=0,0,C72/$B$3)</f>
        <v>4.6294548424794646E-4</v>
      </c>
    </row>
    <row r="73" spans="1:5" x14ac:dyDescent="0.2">
      <c r="A73" s="25" t="s">
        <v>145</v>
      </c>
      <c r="B73" s="25" t="s">
        <v>112</v>
      </c>
      <c r="C73" s="26">
        <f>SUM(C72:C72)</f>
        <v>8339.5</v>
      </c>
      <c r="D73" s="27">
        <f>SUM(D72:D72)</f>
        <v>1</v>
      </c>
      <c r="E73" s="27">
        <f>SUM(E72:E72)</f>
        <v>4.6294548424794646E-4</v>
      </c>
    </row>
    <row r="75" spans="1:5" x14ac:dyDescent="0.2">
      <c r="A75" s="28" t="s">
        <v>146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="160" zoomScaleNormal="160" workbookViewId="0">
      <selection activeCell="B12" sqref="B12"/>
    </sheetView>
  </sheetViews>
  <sheetFormatPr baseColWidth="10" defaultColWidth="10.6640625" defaultRowHeight="15" x14ac:dyDescent="0.2"/>
  <cols>
    <col min="1" max="1" width="45.5" customWidth="1"/>
    <col min="2" max="2" width="18.1640625" customWidth="1"/>
    <col min="3" max="3" width="23.5" customWidth="1"/>
  </cols>
  <sheetData>
    <row r="1" spans="1:3" x14ac:dyDescent="0.2">
      <c r="B1" t="s">
        <v>147</v>
      </c>
      <c r="C1" t="s">
        <v>148</v>
      </c>
    </row>
    <row r="2" spans="1:3" x14ac:dyDescent="0.2">
      <c r="A2" s="22" t="s">
        <v>47</v>
      </c>
      <c r="B2">
        <v>30</v>
      </c>
      <c r="C2">
        <v>10</v>
      </c>
    </row>
    <row r="3" spans="1:3" x14ac:dyDescent="0.2">
      <c r="A3" s="22" t="s">
        <v>37</v>
      </c>
      <c r="B3">
        <v>50</v>
      </c>
      <c r="C3">
        <v>20</v>
      </c>
    </row>
    <row r="4" spans="1:3" x14ac:dyDescent="0.2">
      <c r="A4" s="22" t="s">
        <v>57</v>
      </c>
      <c r="B4">
        <v>1200000</v>
      </c>
      <c r="C4">
        <v>200000</v>
      </c>
    </row>
    <row r="5" spans="1:3" x14ac:dyDescent="0.2">
      <c r="A5" s="22" t="s">
        <v>90</v>
      </c>
      <c r="B5">
        <v>2000000</v>
      </c>
      <c r="C5">
        <v>300000</v>
      </c>
    </row>
    <row r="6" spans="1:3" x14ac:dyDescent="0.2">
      <c r="A6" s="22" t="s">
        <v>27</v>
      </c>
      <c r="B6">
        <v>130000</v>
      </c>
      <c r="C6">
        <v>50000</v>
      </c>
    </row>
    <row r="7" spans="1:3" x14ac:dyDescent="0.2">
      <c r="A7" s="22" t="s">
        <v>112</v>
      </c>
      <c r="B7">
        <v>1300</v>
      </c>
      <c r="C7">
        <v>500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3"/>
  <sheetViews>
    <sheetView zoomScale="140" zoomScaleNormal="14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G21" sqref="G21"/>
    </sheetView>
  </sheetViews>
  <sheetFormatPr baseColWidth="10" defaultColWidth="8.6640625" defaultRowHeight="15" x14ac:dyDescent="0.2"/>
  <cols>
    <col min="1" max="1" width="7" customWidth="1"/>
    <col min="2" max="2" width="45.5" customWidth="1"/>
    <col min="3" max="3" width="30" customWidth="1"/>
    <col min="4" max="4" width="14" customWidth="1"/>
    <col min="5" max="5" width="15" customWidth="1"/>
    <col min="6" max="7" width="12" customWidth="1"/>
    <col min="8" max="11" width="13" customWidth="1"/>
    <col min="12" max="12" width="15" customWidth="1"/>
    <col min="13" max="13" width="13" customWidth="1"/>
    <col min="14" max="14" width="12" customWidth="1"/>
    <col min="15" max="15" width="14" customWidth="1"/>
    <col min="16" max="16" width="11" customWidth="1"/>
    <col min="17" max="18" width="13" customWidth="1"/>
    <col min="19" max="19" width="36" customWidth="1"/>
    <col min="20" max="21" width="11" customWidth="1"/>
  </cols>
  <sheetData>
    <row r="1" spans="1:21" ht="18" x14ac:dyDescent="0.2">
      <c r="A1" s="29" t="s">
        <v>149</v>
      </c>
    </row>
    <row r="2" spans="1:21" x14ac:dyDescent="0.2">
      <c r="A2" s="30" t="s">
        <v>150</v>
      </c>
    </row>
    <row r="3" spans="1:21" x14ac:dyDescent="0.2">
      <c r="A3" s="31" t="s">
        <v>151</v>
      </c>
      <c r="C3" s="32">
        <v>0.2167</v>
      </c>
      <c r="D3" s="33" t="s">
        <v>152</v>
      </c>
    </row>
    <row r="4" spans="1:21" x14ac:dyDescent="0.2">
      <c r="A4" s="31" t="s">
        <v>153</v>
      </c>
      <c r="C4" s="32">
        <v>0.3</v>
      </c>
      <c r="D4" s="33" t="s">
        <v>152</v>
      </c>
    </row>
    <row r="5" spans="1:21" x14ac:dyDescent="0.2">
      <c r="A5" s="31" t="s">
        <v>154</v>
      </c>
      <c r="C5" s="34">
        <f>SUM(J10:J15)</f>
        <v>1154519.7687543</v>
      </c>
    </row>
    <row r="6" spans="1:21" x14ac:dyDescent="0.2">
      <c r="A6" s="31" t="s">
        <v>155</v>
      </c>
      <c r="C6" s="34">
        <f>SUM(U10:U15)</f>
        <v>975328.6590255897</v>
      </c>
    </row>
    <row r="7" spans="1:21" x14ac:dyDescent="0.2">
      <c r="A7" s="31" t="s">
        <v>156</v>
      </c>
      <c r="C7" s="35">
        <f>IF($C$5=0,0,$C$6/$C$5)</f>
        <v>0.84479164880645286</v>
      </c>
    </row>
    <row r="9" spans="1:21" ht="54" customHeight="1" x14ac:dyDescent="0.2">
      <c r="A9" s="36" t="s">
        <v>135</v>
      </c>
      <c r="B9" s="36" t="s">
        <v>17</v>
      </c>
      <c r="C9" s="36" t="s">
        <v>157</v>
      </c>
      <c r="D9" s="36" t="s">
        <v>158</v>
      </c>
      <c r="E9" s="36" t="s">
        <v>159</v>
      </c>
      <c r="F9" s="36" t="s">
        <v>160</v>
      </c>
      <c r="G9" s="36" t="s">
        <v>161</v>
      </c>
      <c r="H9" s="36" t="s">
        <v>162</v>
      </c>
      <c r="I9" s="36" t="s">
        <v>163</v>
      </c>
      <c r="J9" s="36" t="s">
        <v>164</v>
      </c>
      <c r="K9" s="36" t="s">
        <v>165</v>
      </c>
      <c r="L9" s="36" t="s">
        <v>166</v>
      </c>
      <c r="M9" s="36" t="s">
        <v>167</v>
      </c>
      <c r="N9" s="36" t="s">
        <v>168</v>
      </c>
      <c r="O9" s="36" t="s">
        <v>169</v>
      </c>
      <c r="P9" s="36" t="s">
        <v>170</v>
      </c>
      <c r="Q9" s="36" t="s">
        <v>171</v>
      </c>
      <c r="R9" s="36" t="s">
        <v>172</v>
      </c>
      <c r="S9" s="36" t="s">
        <v>173</v>
      </c>
      <c r="T9" s="37" t="s">
        <v>174</v>
      </c>
      <c r="U9" s="37" t="s">
        <v>175</v>
      </c>
    </row>
    <row r="10" spans="1:21" x14ac:dyDescent="0.2">
      <c r="A10" s="38" t="s">
        <v>46</v>
      </c>
      <c r="B10" s="38" t="s">
        <v>47</v>
      </c>
      <c r="C10" s="39">
        <f>SUMIF('Raport EEE'!$E$13:$E$148,$B10,'Raport EEE'!$I$13:$I$148)</f>
        <v>977.73</v>
      </c>
      <c r="D10" s="39">
        <f t="shared" ref="D10:D15" si="0">C10*$C$3</f>
        <v>211.87409100000002</v>
      </c>
      <c r="E10" s="39">
        <f>D10*$C$4</f>
        <v>63.562227300000004</v>
      </c>
      <c r="F10" s="39">
        <f>IFERROR(INDEX(Colectat!$B$2:$B$7,MATCH($B10,Colectat!$A$2:$A$7,0)),0)</f>
        <v>30</v>
      </c>
      <c r="G10" s="39">
        <f>IFERROR(INDEX(Colectat!$C$2:$C$7,MATCH($B10,Colectat!$A$2:$A$7,0)),0)</f>
        <v>10</v>
      </c>
      <c r="H10" s="39">
        <f t="shared" ref="H10:H15" si="1">F10+G10</f>
        <v>40</v>
      </c>
      <c r="I10" s="39">
        <f t="shared" ref="I10:I15" si="2">MIN(H10,D10)</f>
        <v>40</v>
      </c>
      <c r="J10" s="39">
        <f t="shared" ref="J10:J15" si="3">H10-I10</f>
        <v>0</v>
      </c>
      <c r="K10" s="39">
        <f t="shared" ref="K10:K15" si="4">D10-I10</f>
        <v>171.87409100000002</v>
      </c>
      <c r="L10" s="39">
        <f>MIN(K10,D10*(1-$C$4))</f>
        <v>148.3118637</v>
      </c>
      <c r="M10" s="39">
        <f>MIN(L10,$C$5)</f>
        <v>148.3118637</v>
      </c>
      <c r="N10" s="39">
        <f>$C$5-M10</f>
        <v>1154371.4568906</v>
      </c>
      <c r="O10" s="39">
        <f t="shared" ref="O10:O15" si="5">I10+M10</f>
        <v>188.3118637</v>
      </c>
      <c r="P10" s="40">
        <f t="shared" ref="P10:P16" si="6">IF(D10=0,0,O10/D10)</f>
        <v>0.88879137043707712</v>
      </c>
      <c r="Q10" s="39">
        <f t="shared" ref="Q10:Q15" si="7">T10+M10*$C$7</f>
        <v>155.29262387268091</v>
      </c>
      <c r="R10" s="39">
        <f t="shared" ref="R10:R15" si="8">O10-Q10</f>
        <v>33.019239827319097</v>
      </c>
      <c r="S10" s="41" t="s">
        <v>176</v>
      </c>
      <c r="T10" s="42">
        <f t="shared" ref="T10:T15" si="9">IF(H10=0,0,I10*F10/H10)</f>
        <v>30</v>
      </c>
      <c r="U10" s="42">
        <f t="shared" ref="U10:U15" si="10">IF(H10=0,0,J10*F10/H10)</f>
        <v>0</v>
      </c>
    </row>
    <row r="11" spans="1:21" x14ac:dyDescent="0.2">
      <c r="A11" s="38" t="s">
        <v>36</v>
      </c>
      <c r="B11" s="38" t="s">
        <v>37</v>
      </c>
      <c r="C11" s="39">
        <f>SUMIF('Raport EEE'!$E$13:$E$148,$B11,'Raport EEE'!$I$13:$I$148)</f>
        <v>301.82000000000005</v>
      </c>
      <c r="D11" s="39">
        <f t="shared" si="0"/>
        <v>65.404394000000011</v>
      </c>
      <c r="E11" s="39">
        <f>D11</f>
        <v>65.404394000000011</v>
      </c>
      <c r="F11" s="39">
        <f>IFERROR(INDEX(Colectat!$B$2:$B$7,MATCH($B11,Colectat!$A$2:$A$7,0)),0)</f>
        <v>50</v>
      </c>
      <c r="G11" s="39">
        <f>IFERROR(INDEX(Colectat!$C$2:$C$7,MATCH($B11,Colectat!$A$2:$A$7,0)),0)</f>
        <v>20</v>
      </c>
      <c r="H11" s="39">
        <f t="shared" si="1"/>
        <v>70</v>
      </c>
      <c r="I11" s="39">
        <f t="shared" si="2"/>
        <v>65.404394000000011</v>
      </c>
      <c r="J11" s="39">
        <f t="shared" si="3"/>
        <v>4.5956059999999894</v>
      </c>
      <c r="K11" s="39">
        <f t="shared" si="4"/>
        <v>0</v>
      </c>
      <c r="L11" s="39">
        <v>0</v>
      </c>
      <c r="M11" s="39">
        <f>MIN(L11,N10)</f>
        <v>0</v>
      </c>
      <c r="N11" s="39">
        <f>N10-M11</f>
        <v>1154371.4568906</v>
      </c>
      <c r="O11" s="39">
        <f t="shared" si="5"/>
        <v>65.404394000000011</v>
      </c>
      <c r="P11" s="40">
        <f t="shared" si="6"/>
        <v>1</v>
      </c>
      <c r="Q11" s="39">
        <f t="shared" si="7"/>
        <v>46.717424285714294</v>
      </c>
      <c r="R11" s="39">
        <f t="shared" si="8"/>
        <v>18.686969714285716</v>
      </c>
      <c r="S11" s="41" t="s">
        <v>177</v>
      </c>
      <c r="T11" s="42">
        <f t="shared" si="9"/>
        <v>46.717424285714294</v>
      </c>
      <c r="U11" s="42">
        <f t="shared" si="10"/>
        <v>3.2825757142857066</v>
      </c>
    </row>
    <row r="12" spans="1:21" x14ac:dyDescent="0.2">
      <c r="A12" s="38" t="s">
        <v>56</v>
      </c>
      <c r="B12" s="38" t="s">
        <v>57</v>
      </c>
      <c r="C12" s="39">
        <f>SUMIF('Raport EEE'!$E$13:$E$148,$B12,'Raport EEE'!$I$13:$I$148)</f>
        <v>1620533.4899999998</v>
      </c>
      <c r="D12" s="39">
        <f t="shared" si="0"/>
        <v>351169.60728299996</v>
      </c>
      <c r="E12" s="39">
        <f>D12*$C$4</f>
        <v>105350.88218489998</v>
      </c>
      <c r="F12" s="39">
        <f>IFERROR(INDEX(Colectat!$B$2:$B$7,MATCH($B12,Colectat!$A$2:$A$7,0)),0)</f>
        <v>1200000</v>
      </c>
      <c r="G12" s="39">
        <f>IFERROR(INDEX(Colectat!$C$2:$C$7,MATCH($B12,Colectat!$A$2:$A$7,0)),0)</f>
        <v>200000</v>
      </c>
      <c r="H12" s="39">
        <f t="shared" si="1"/>
        <v>1400000</v>
      </c>
      <c r="I12" s="39">
        <f t="shared" si="2"/>
        <v>351169.60728299996</v>
      </c>
      <c r="J12" s="39">
        <f t="shared" si="3"/>
        <v>1048830.3927170001</v>
      </c>
      <c r="K12" s="39">
        <f t="shared" si="4"/>
        <v>0</v>
      </c>
      <c r="L12" s="39">
        <f>MIN(K12,D12*(1-$C$4))</f>
        <v>0</v>
      </c>
      <c r="M12" s="39">
        <f>MIN(L12,N11)</f>
        <v>0</v>
      </c>
      <c r="N12" s="39">
        <f>N11-M12</f>
        <v>1154371.4568906</v>
      </c>
      <c r="O12" s="39">
        <f t="shared" si="5"/>
        <v>351169.60728299996</v>
      </c>
      <c r="P12" s="40">
        <f t="shared" si="6"/>
        <v>1</v>
      </c>
      <c r="Q12" s="39">
        <f t="shared" si="7"/>
        <v>301002.52052828571</v>
      </c>
      <c r="R12" s="39">
        <f t="shared" si="8"/>
        <v>50167.086754714255</v>
      </c>
      <c r="S12" s="41" t="s">
        <v>176</v>
      </c>
      <c r="T12" s="42">
        <f t="shared" si="9"/>
        <v>301002.52052828571</v>
      </c>
      <c r="U12" s="42">
        <f t="shared" si="10"/>
        <v>898997.47947171435</v>
      </c>
    </row>
    <row r="13" spans="1:21" x14ac:dyDescent="0.2">
      <c r="A13" s="38" t="s">
        <v>26</v>
      </c>
      <c r="B13" s="38" t="s">
        <v>27</v>
      </c>
      <c r="C13" s="39">
        <f>SUMIF('Raport EEE'!$E$13:$E$148,$B13,'Raport EEE'!$I$13:$I$148)</f>
        <v>342940.56099999993</v>
      </c>
      <c r="D13" s="39">
        <f t="shared" si="0"/>
        <v>74315.219568699991</v>
      </c>
      <c r="E13" s="39">
        <f>D13*$C$4</f>
        <v>22294.565870609997</v>
      </c>
      <c r="F13" s="39">
        <f>IFERROR(INDEX(Colectat!$B$2:$B$7,MATCH($B13,Colectat!$A$2:$A$7,0)),0)</f>
        <v>130000</v>
      </c>
      <c r="G13" s="39">
        <f>IFERROR(INDEX(Colectat!$C$2:$C$7,MATCH($B13,Colectat!$A$2:$A$7,0)),0)</f>
        <v>50000</v>
      </c>
      <c r="H13" s="39">
        <f t="shared" si="1"/>
        <v>180000</v>
      </c>
      <c r="I13" s="39">
        <f t="shared" si="2"/>
        <v>74315.219568699991</v>
      </c>
      <c r="J13" s="39">
        <f t="shared" si="3"/>
        <v>105684.78043130001</v>
      </c>
      <c r="K13" s="39">
        <f t="shared" si="4"/>
        <v>0</v>
      </c>
      <c r="L13" s="39">
        <f>MIN(K13,D13*(1-$C$4))</f>
        <v>0</v>
      </c>
      <c r="M13" s="39">
        <f>MIN(L13,N12)</f>
        <v>0</v>
      </c>
      <c r="N13" s="39">
        <f>N12-M13</f>
        <v>1154371.4568906</v>
      </c>
      <c r="O13" s="39">
        <f t="shared" si="5"/>
        <v>74315.219568699991</v>
      </c>
      <c r="P13" s="40">
        <f t="shared" si="6"/>
        <v>1</v>
      </c>
      <c r="Q13" s="39">
        <f t="shared" si="7"/>
        <v>53672.103021838884</v>
      </c>
      <c r="R13" s="39">
        <f t="shared" si="8"/>
        <v>20643.116546861107</v>
      </c>
      <c r="S13" s="41" t="s">
        <v>176</v>
      </c>
      <c r="T13" s="42">
        <f t="shared" si="9"/>
        <v>53672.103021838884</v>
      </c>
      <c r="U13" s="42">
        <f t="shared" si="10"/>
        <v>76327.896978161109</v>
      </c>
    </row>
    <row r="14" spans="1:21" x14ac:dyDescent="0.2">
      <c r="A14" s="38" t="s">
        <v>111</v>
      </c>
      <c r="B14" s="38" t="s">
        <v>112</v>
      </c>
      <c r="C14" s="39">
        <f>SUMIF('Raport EEE'!$E$13:$E$148,$B14,'Raport EEE'!$I$13:$I$148)</f>
        <v>8339.5</v>
      </c>
      <c r="D14" s="39">
        <f t="shared" si="0"/>
        <v>1807.16965</v>
      </c>
      <c r="E14" s="39">
        <f>D14*$C$4</f>
        <v>542.15089499999999</v>
      </c>
      <c r="F14" s="39">
        <f>IFERROR(INDEX(Colectat!$B$2:$B$7,MATCH($B14,Colectat!$A$2:$A$7,0)),0)</f>
        <v>1300</v>
      </c>
      <c r="G14" s="39">
        <f>IFERROR(INDEX(Colectat!$C$2:$C$7,MATCH($B14,Colectat!$A$2:$A$7,0)),0)</f>
        <v>500</v>
      </c>
      <c r="H14" s="39">
        <f t="shared" si="1"/>
        <v>1800</v>
      </c>
      <c r="I14" s="39">
        <f t="shared" si="2"/>
        <v>1800</v>
      </c>
      <c r="J14" s="39">
        <f t="shared" si="3"/>
        <v>0</v>
      </c>
      <c r="K14" s="39">
        <f t="shared" si="4"/>
        <v>7.1696500000000469</v>
      </c>
      <c r="L14" s="39">
        <f>MIN(K14,D14*(1-$C$4))</f>
        <v>7.1696500000000469</v>
      </c>
      <c r="M14" s="39">
        <f>MIN(L14,N13)</f>
        <v>7.1696500000000469</v>
      </c>
      <c r="N14" s="39">
        <f>N13-M14</f>
        <v>1154364.2872406</v>
      </c>
      <c r="O14" s="39">
        <f t="shared" si="5"/>
        <v>1807.16965</v>
      </c>
      <c r="P14" s="40">
        <f t="shared" si="6"/>
        <v>1</v>
      </c>
      <c r="Q14" s="39">
        <f t="shared" si="7"/>
        <v>1306.0568604448652</v>
      </c>
      <c r="R14" s="39">
        <f t="shared" si="8"/>
        <v>501.1127895551349</v>
      </c>
      <c r="S14" s="41" t="s">
        <v>176</v>
      </c>
      <c r="T14" s="42">
        <f t="shared" si="9"/>
        <v>1300</v>
      </c>
      <c r="U14" s="42">
        <f t="shared" si="10"/>
        <v>0</v>
      </c>
    </row>
    <row r="15" spans="1:21" x14ac:dyDescent="0.2">
      <c r="A15" s="38" t="s">
        <v>89</v>
      </c>
      <c r="B15" s="38" t="s">
        <v>90</v>
      </c>
      <c r="C15" s="39">
        <f>SUMIF('Raport EEE'!$E$13:$E$148,$B15,'Raport EEE'!$I$13:$I$148)</f>
        <v>16040907</v>
      </c>
      <c r="D15" s="39">
        <f t="shared" si="0"/>
        <v>3476064.5469</v>
      </c>
      <c r="E15" s="39">
        <v>0</v>
      </c>
      <c r="F15" s="39">
        <f>IFERROR(INDEX(Colectat!$B$2:$B$7,MATCH($B15,Colectat!$A$2:$A$7,0)),0)</f>
        <v>2000000</v>
      </c>
      <c r="G15" s="39">
        <f>IFERROR(INDEX(Colectat!$C$2:$C$7,MATCH($B15,Colectat!$A$2:$A$7,0)),0)</f>
        <v>300000</v>
      </c>
      <c r="H15" s="39">
        <f t="shared" si="1"/>
        <v>2300000</v>
      </c>
      <c r="I15" s="39">
        <f t="shared" si="2"/>
        <v>2300000</v>
      </c>
      <c r="J15" s="39">
        <f t="shared" si="3"/>
        <v>0</v>
      </c>
      <c r="K15" s="39">
        <f t="shared" si="4"/>
        <v>1176064.5469</v>
      </c>
      <c r="L15" s="39">
        <f>K15</f>
        <v>1176064.5469</v>
      </c>
      <c r="M15" s="39">
        <f>MIN(L15,N14)</f>
        <v>1154364.2872406</v>
      </c>
      <c r="N15" s="39">
        <f>N14-M15</f>
        <v>0</v>
      </c>
      <c r="O15" s="39">
        <f t="shared" si="5"/>
        <v>3454364.2872406002</v>
      </c>
      <c r="P15" s="40">
        <f t="shared" si="6"/>
        <v>0.9937572333981104</v>
      </c>
      <c r="Q15" s="39">
        <f t="shared" si="7"/>
        <v>2975197.309541272</v>
      </c>
      <c r="R15" s="39">
        <f t="shared" si="8"/>
        <v>479166.97769932821</v>
      </c>
      <c r="S15" s="41" t="s">
        <v>178</v>
      </c>
      <c r="T15" s="42">
        <f t="shared" si="9"/>
        <v>2000000</v>
      </c>
      <c r="U15" s="42">
        <f t="shared" si="10"/>
        <v>0</v>
      </c>
    </row>
    <row r="16" spans="1:21" x14ac:dyDescent="0.2">
      <c r="A16" s="43"/>
      <c r="B16" s="43" t="s">
        <v>133</v>
      </c>
      <c r="C16" s="44">
        <f t="shared" ref="C16:K16" si="11">SUM(C10:C15)</f>
        <v>18014000.101</v>
      </c>
      <c r="D16" s="44">
        <f t="shared" si="11"/>
        <v>3903633.8218867001</v>
      </c>
      <c r="E16" s="44">
        <f t="shared" si="11"/>
        <v>128316.56557180997</v>
      </c>
      <c r="F16" s="44">
        <f t="shared" si="11"/>
        <v>3331380</v>
      </c>
      <c r="G16" s="44">
        <f t="shared" si="11"/>
        <v>550530</v>
      </c>
      <c r="H16" s="44">
        <f t="shared" si="11"/>
        <v>3881910</v>
      </c>
      <c r="I16" s="44">
        <f t="shared" si="11"/>
        <v>2727390.2312456998</v>
      </c>
      <c r="J16" s="44">
        <f t="shared" si="11"/>
        <v>1154519.7687543</v>
      </c>
      <c r="K16" s="44">
        <f t="shared" si="11"/>
        <v>1176243.5906409998</v>
      </c>
      <c r="L16" s="43"/>
      <c r="M16" s="44">
        <f>SUM(M10:M15)</f>
        <v>1154519.7687543</v>
      </c>
      <c r="N16" s="43"/>
      <c r="O16" s="44">
        <f>SUM(O10:O15)</f>
        <v>3881910</v>
      </c>
      <c r="P16" s="45">
        <f t="shared" si="6"/>
        <v>0.99443497446791751</v>
      </c>
      <c r="Q16" s="44">
        <f>SUM(Q10:Q15)</f>
        <v>3331380</v>
      </c>
      <c r="R16" s="44">
        <f>SUM(R10:R15)</f>
        <v>550530.00000000035</v>
      </c>
      <c r="S16" s="43"/>
    </row>
    <row r="18" spans="1:10" x14ac:dyDescent="0.2">
      <c r="A18" s="31" t="s">
        <v>179</v>
      </c>
      <c r="C18" s="46">
        <f>O16-H16</f>
        <v>0</v>
      </c>
      <c r="D18" s="47" t="str">
        <f>IF(ABS(C18)&lt;0.01,"OK – tot colectatul este alocat","Diferență = colectat rămas nealocat")</f>
        <v>OK – tot colectatul este alocat</v>
      </c>
    </row>
    <row r="19" spans="1:10" x14ac:dyDescent="0.2">
      <c r="A19" s="31" t="s">
        <v>180</v>
      </c>
      <c r="C19" s="46">
        <f>N15</f>
        <v>0</v>
      </c>
    </row>
    <row r="20" spans="1:10" x14ac:dyDescent="0.2">
      <c r="A20" s="31" t="s">
        <v>181</v>
      </c>
      <c r="C20" s="46">
        <f>Q16+R16-O16</f>
        <v>0</v>
      </c>
    </row>
    <row r="23" spans="1:10" ht="16" x14ac:dyDescent="0.2">
      <c r="A23" s="48" t="s">
        <v>182</v>
      </c>
    </row>
    <row r="24" spans="1:10" ht="39.75" customHeight="1" x14ac:dyDescent="0.2">
      <c r="A24" s="36" t="s">
        <v>135</v>
      </c>
      <c r="B24" s="36" t="s">
        <v>17</v>
      </c>
      <c r="C24" s="36" t="s">
        <v>14</v>
      </c>
      <c r="D24" s="36" t="s">
        <v>157</v>
      </c>
      <c r="E24" s="36" t="s">
        <v>158</v>
      </c>
      <c r="F24" s="36" t="s">
        <v>143</v>
      </c>
      <c r="G24" s="36" t="s">
        <v>183</v>
      </c>
      <c r="H24" s="36" t="s">
        <v>171</v>
      </c>
      <c r="I24" s="36" t="s">
        <v>172</v>
      </c>
      <c r="J24" s="36" t="s">
        <v>184</v>
      </c>
    </row>
    <row r="25" spans="1:10" x14ac:dyDescent="0.2">
      <c r="A25" s="38" t="s">
        <v>46</v>
      </c>
      <c r="B25" s="38" t="s">
        <v>47</v>
      </c>
      <c r="C25" s="38" t="s">
        <v>44</v>
      </c>
      <c r="D25" s="39">
        <f>SUMIFS('Raport EEE'!$I$13:$I$148,'Raport EEE'!$E$13:$E$148,$B25,'Raport EEE'!$B$13:$B$148,$C25)</f>
        <v>977.73</v>
      </c>
      <c r="E25" s="39">
        <f>D25*$C$3</f>
        <v>211.87409100000002</v>
      </c>
      <c r="F25" s="40">
        <f>IF($C$10=0,0,D25/$C$10)</f>
        <v>1</v>
      </c>
      <c r="G25" s="39">
        <f>F25*$O$10</f>
        <v>188.3118637</v>
      </c>
      <c r="H25" s="39">
        <f>F25*$Q$10</f>
        <v>155.29262387268091</v>
      </c>
      <c r="I25" s="39">
        <f>F25*$R$10</f>
        <v>33.019239827319097</v>
      </c>
      <c r="J25" s="40">
        <f>IF(E25=0,0,G25/E25)</f>
        <v>0.88879137043707712</v>
      </c>
    </row>
    <row r="26" spans="1:10" x14ac:dyDescent="0.2">
      <c r="A26" s="43"/>
      <c r="B26" s="43" t="s">
        <v>145</v>
      </c>
      <c r="C26" s="43" t="s">
        <v>47</v>
      </c>
      <c r="D26" s="44">
        <f t="shared" ref="D26:I26" si="12">SUM(D25:D25)</f>
        <v>977.73</v>
      </c>
      <c r="E26" s="44">
        <f t="shared" si="12"/>
        <v>211.87409100000002</v>
      </c>
      <c r="F26" s="45">
        <f t="shared" si="12"/>
        <v>1</v>
      </c>
      <c r="G26" s="44">
        <f t="shared" si="12"/>
        <v>188.3118637</v>
      </c>
      <c r="H26" s="44">
        <f t="shared" si="12"/>
        <v>155.29262387268091</v>
      </c>
      <c r="I26" s="44">
        <f t="shared" si="12"/>
        <v>33.019239827319097</v>
      </c>
      <c r="J26" s="45">
        <f>IF(E26=0,0,G26/E26)</f>
        <v>0.88879137043707712</v>
      </c>
    </row>
    <row r="28" spans="1:10" x14ac:dyDescent="0.2">
      <c r="A28" s="38" t="s">
        <v>36</v>
      </c>
      <c r="B28" s="38" t="s">
        <v>37</v>
      </c>
      <c r="C28" s="38" t="s">
        <v>40</v>
      </c>
      <c r="D28" s="39">
        <f>SUMIFS('Raport EEE'!$I$13:$I$148,'Raport EEE'!$E$13:$E$148,$B28,'Raport EEE'!$B$13:$B$148,$C28)</f>
        <v>239.23000000000002</v>
      </c>
      <c r="E28" s="39">
        <f>D28*$C$3</f>
        <v>51.841141000000007</v>
      </c>
      <c r="F28" s="40">
        <f>IF($C$11=0,0,D28/$C$11)</f>
        <v>0.79262474322443832</v>
      </c>
      <c r="G28" s="39">
        <f>F28*$O$11</f>
        <v>51.841141</v>
      </c>
      <c r="H28" s="39">
        <f>F28*$Q$11</f>
        <v>37.029386428571435</v>
      </c>
      <c r="I28" s="39">
        <f>F28*$R$11</f>
        <v>14.811754571428571</v>
      </c>
      <c r="J28" s="40">
        <f>IF(E28=0,0,G28/E28)</f>
        <v>0.99999999999999989</v>
      </c>
    </row>
    <row r="29" spans="1:10" x14ac:dyDescent="0.2">
      <c r="A29" s="38" t="s">
        <v>36</v>
      </c>
      <c r="B29" s="38" t="s">
        <v>37</v>
      </c>
      <c r="C29" s="38" t="s">
        <v>24</v>
      </c>
      <c r="D29" s="39">
        <f>SUMIFS('Raport EEE'!$I$13:$I$148,'Raport EEE'!$E$13:$E$148,$B29,'Raport EEE'!$B$13:$B$148,$C29)</f>
        <v>35</v>
      </c>
      <c r="E29" s="39">
        <f>D29*$C$3</f>
        <v>7.5845000000000002</v>
      </c>
      <c r="F29" s="40">
        <f>IF($C$11=0,0,D29/$C$11)</f>
        <v>0.11596315684845269</v>
      </c>
      <c r="G29" s="39">
        <f>F29*$O$11</f>
        <v>7.5844999999999994</v>
      </c>
      <c r="H29" s="39">
        <f>F29*$Q$11</f>
        <v>5.4174999999999995</v>
      </c>
      <c r="I29" s="39">
        <f>F29*$R$11</f>
        <v>2.1669999999999998</v>
      </c>
      <c r="J29" s="40">
        <f>IF(E29=0,0,G29/E29)</f>
        <v>0.99999999999999989</v>
      </c>
    </row>
    <row r="30" spans="1:10" x14ac:dyDescent="0.2">
      <c r="A30" s="38" t="s">
        <v>36</v>
      </c>
      <c r="B30" s="38" t="s">
        <v>37</v>
      </c>
      <c r="C30" s="38" t="s">
        <v>81</v>
      </c>
      <c r="D30" s="39">
        <f>SUMIFS('Raport EEE'!$I$13:$I$148,'Raport EEE'!$E$13:$E$148,$B30,'Raport EEE'!$B$13:$B$148,$C30)</f>
        <v>27.59</v>
      </c>
      <c r="E30" s="39">
        <f>D30*$C$3</f>
        <v>5.9787530000000002</v>
      </c>
      <c r="F30" s="40">
        <f>IF($C$11=0,0,D30/$C$11)</f>
        <v>9.1412099927108859E-2</v>
      </c>
      <c r="G30" s="39">
        <f>F30*$O$11</f>
        <v>5.9787530000000002</v>
      </c>
      <c r="H30" s="39">
        <f>F30*$Q$11</f>
        <v>4.2705378571428572</v>
      </c>
      <c r="I30" s="39">
        <f>F30*$R$11</f>
        <v>1.7082151428571428</v>
      </c>
      <c r="J30" s="40">
        <f>IF(E30=0,0,G30/E30)</f>
        <v>1</v>
      </c>
    </row>
    <row r="31" spans="1:10" x14ac:dyDescent="0.2">
      <c r="A31" s="43"/>
      <c r="B31" s="43" t="s">
        <v>145</v>
      </c>
      <c r="C31" s="43" t="s">
        <v>37</v>
      </c>
      <c r="D31" s="44">
        <f t="shared" ref="D31:I31" si="13">SUM(D28:D30)</f>
        <v>301.82</v>
      </c>
      <c r="E31" s="44">
        <f t="shared" si="13"/>
        <v>65.404394000000011</v>
      </c>
      <c r="F31" s="45">
        <f t="shared" si="13"/>
        <v>0.99999999999999989</v>
      </c>
      <c r="G31" s="44">
        <f t="shared" si="13"/>
        <v>65.404393999999996</v>
      </c>
      <c r="H31" s="44">
        <f t="shared" si="13"/>
        <v>46.717424285714287</v>
      </c>
      <c r="I31" s="44">
        <f t="shared" si="13"/>
        <v>18.686969714285713</v>
      </c>
      <c r="J31" s="45">
        <f>IF(E31=0,0,G31/E31)</f>
        <v>0.99999999999999978</v>
      </c>
    </row>
    <row r="33" spans="1:10" x14ac:dyDescent="0.2">
      <c r="A33" s="38" t="s">
        <v>56</v>
      </c>
      <c r="B33" s="38" t="s">
        <v>57</v>
      </c>
      <c r="C33" s="38" t="s">
        <v>54</v>
      </c>
      <c r="D33" s="39">
        <f>SUMIFS('Raport EEE'!$I$13:$I$148,'Raport EEE'!$E$13:$E$148,$B33,'Raport EEE'!$B$13:$B$148,$C33)</f>
        <v>1537289.19</v>
      </c>
      <c r="E33" s="39">
        <f t="shared" ref="E33:E41" si="14">D33*$C$3</f>
        <v>333130.56747299997</v>
      </c>
      <c r="F33" s="40">
        <f t="shared" ref="F33:F41" si="15">IF($C$12=0,0,D33/$C$12)</f>
        <v>0.94863154602253863</v>
      </c>
      <c r="G33" s="39">
        <f t="shared" ref="G33:G41" si="16">F33*$O$12</f>
        <v>333130.56747299997</v>
      </c>
      <c r="H33" s="39">
        <f t="shared" ref="H33:H41" si="17">F33*$Q$12</f>
        <v>285540.48640542862</v>
      </c>
      <c r="I33" s="39">
        <f t="shared" ref="I33:I41" si="18">F33*$R$12</f>
        <v>47590.081067571402</v>
      </c>
      <c r="J33" s="40">
        <f t="shared" ref="J33:J42" si="19">IF(E33=0,0,G33/E33)</f>
        <v>1</v>
      </c>
    </row>
    <row r="34" spans="1:10" x14ac:dyDescent="0.2">
      <c r="A34" s="38" t="s">
        <v>56</v>
      </c>
      <c r="B34" s="38" t="s">
        <v>57</v>
      </c>
      <c r="C34" s="38" t="s">
        <v>95</v>
      </c>
      <c r="D34" s="39">
        <f>SUMIFS('Raport EEE'!$I$13:$I$148,'Raport EEE'!$E$13:$E$148,$B34,'Raport EEE'!$B$13:$B$148,$C34)</f>
        <v>56324.6</v>
      </c>
      <c r="E34" s="39">
        <f t="shared" si="14"/>
        <v>12205.54082</v>
      </c>
      <c r="F34" s="40">
        <f t="shared" si="15"/>
        <v>3.4756825667330085E-2</v>
      </c>
      <c r="G34" s="39">
        <f t="shared" si="16"/>
        <v>12205.540819999998</v>
      </c>
      <c r="H34" s="39">
        <f t="shared" si="17"/>
        <v>10461.892131428571</v>
      </c>
      <c r="I34" s="39">
        <f t="shared" si="18"/>
        <v>1743.6486885714276</v>
      </c>
      <c r="J34" s="40">
        <f t="shared" si="19"/>
        <v>0.99999999999999989</v>
      </c>
    </row>
    <row r="35" spans="1:10" x14ac:dyDescent="0.2">
      <c r="A35" s="38" t="s">
        <v>56</v>
      </c>
      <c r="B35" s="38" t="s">
        <v>57</v>
      </c>
      <c r="C35" s="38" t="s">
        <v>123</v>
      </c>
      <c r="D35" s="39">
        <f>SUMIFS('Raport EEE'!$I$13:$I$148,'Raport EEE'!$E$13:$E$148,$B35,'Raport EEE'!$B$13:$B$148,$C35)</f>
        <v>15776</v>
      </c>
      <c r="E35" s="39">
        <f t="shared" si="14"/>
        <v>3418.6592000000001</v>
      </c>
      <c r="F35" s="40">
        <f t="shared" si="15"/>
        <v>9.7350657035788889E-3</v>
      </c>
      <c r="G35" s="39">
        <f t="shared" si="16"/>
        <v>3418.6592000000001</v>
      </c>
      <c r="H35" s="39">
        <f t="shared" si="17"/>
        <v>2930.2793142857145</v>
      </c>
      <c r="I35" s="39">
        <f t="shared" si="18"/>
        <v>488.37988571428548</v>
      </c>
      <c r="J35" s="40">
        <f t="shared" si="19"/>
        <v>1</v>
      </c>
    </row>
    <row r="36" spans="1:10" x14ac:dyDescent="0.2">
      <c r="A36" s="38" t="s">
        <v>56</v>
      </c>
      <c r="B36" s="38" t="s">
        <v>57</v>
      </c>
      <c r="C36" s="38" t="s">
        <v>104</v>
      </c>
      <c r="D36" s="39">
        <f>SUMIFS('Raport EEE'!$I$13:$I$148,'Raport EEE'!$E$13:$E$148,$B36,'Raport EEE'!$B$13:$B$148,$C36)</f>
        <v>6136</v>
      </c>
      <c r="E36" s="39">
        <f t="shared" si="14"/>
        <v>1329.6712</v>
      </c>
      <c r="F36" s="40">
        <f t="shared" si="15"/>
        <v>3.7864074009356023E-3</v>
      </c>
      <c r="G36" s="39">
        <f t="shared" si="16"/>
        <v>1329.6712</v>
      </c>
      <c r="H36" s="39">
        <f t="shared" si="17"/>
        <v>1139.7181714285716</v>
      </c>
      <c r="I36" s="39">
        <f t="shared" si="18"/>
        <v>189.95302857142849</v>
      </c>
      <c r="J36" s="40">
        <f t="shared" si="19"/>
        <v>1</v>
      </c>
    </row>
    <row r="37" spans="1:10" x14ac:dyDescent="0.2">
      <c r="A37" s="38" t="s">
        <v>56</v>
      </c>
      <c r="B37" s="38" t="s">
        <v>57</v>
      </c>
      <c r="C37" s="38" t="s">
        <v>85</v>
      </c>
      <c r="D37" s="39">
        <f>SUMIFS('Raport EEE'!$I$13:$I$148,'Raport EEE'!$E$13:$E$148,$B37,'Raport EEE'!$B$13:$B$148,$C37)</f>
        <v>3971</v>
      </c>
      <c r="E37" s="39">
        <f t="shared" si="14"/>
        <v>860.51570000000004</v>
      </c>
      <c r="F37" s="40">
        <f t="shared" si="15"/>
        <v>2.4504276057880177E-3</v>
      </c>
      <c r="G37" s="39">
        <f t="shared" si="16"/>
        <v>860.51570000000004</v>
      </c>
      <c r="H37" s="39">
        <f t="shared" si="17"/>
        <v>737.58488571428575</v>
      </c>
      <c r="I37" s="39">
        <f t="shared" si="18"/>
        <v>122.93081428571422</v>
      </c>
      <c r="J37" s="40">
        <f t="shared" si="19"/>
        <v>1</v>
      </c>
    </row>
    <row r="38" spans="1:10" x14ac:dyDescent="0.2">
      <c r="A38" s="38" t="s">
        <v>56</v>
      </c>
      <c r="B38" s="38" t="s">
        <v>57</v>
      </c>
      <c r="C38" s="38" t="s">
        <v>81</v>
      </c>
      <c r="D38" s="39">
        <f>SUMIFS('Raport EEE'!$I$13:$I$148,'Raport EEE'!$E$13:$E$148,$B38,'Raport EEE'!$B$13:$B$148,$C38)</f>
        <v>675</v>
      </c>
      <c r="E38" s="39">
        <f t="shared" si="14"/>
        <v>146.27250000000001</v>
      </c>
      <c r="F38" s="40">
        <f t="shared" si="15"/>
        <v>4.1652949733238779E-4</v>
      </c>
      <c r="G38" s="39">
        <f t="shared" si="16"/>
        <v>146.27250000000001</v>
      </c>
      <c r="H38" s="39">
        <f t="shared" si="17"/>
        <v>125.37642857142858</v>
      </c>
      <c r="I38" s="39">
        <f t="shared" si="18"/>
        <v>20.896071428571418</v>
      </c>
      <c r="J38" s="40">
        <f t="shared" si="19"/>
        <v>1</v>
      </c>
    </row>
    <row r="39" spans="1:10" x14ac:dyDescent="0.2">
      <c r="A39" s="38" t="s">
        <v>56</v>
      </c>
      <c r="B39" s="38" t="s">
        <v>57</v>
      </c>
      <c r="C39" s="38" t="s">
        <v>101</v>
      </c>
      <c r="D39" s="39">
        <f>SUMIFS('Raport EEE'!$I$13:$I$148,'Raport EEE'!$E$13:$E$148,$B39,'Raport EEE'!$B$13:$B$148,$C39)</f>
        <v>253.70000000000002</v>
      </c>
      <c r="E39" s="39">
        <f t="shared" si="14"/>
        <v>54.976790000000001</v>
      </c>
      <c r="F39" s="40">
        <f t="shared" si="15"/>
        <v>1.5655338292329895E-4</v>
      </c>
      <c r="G39" s="39">
        <f t="shared" si="16"/>
        <v>54.976790000000001</v>
      </c>
      <c r="H39" s="39">
        <f t="shared" si="17"/>
        <v>47.122962857142866</v>
      </c>
      <c r="I39" s="39">
        <f t="shared" si="18"/>
        <v>7.8538271428571393</v>
      </c>
      <c r="J39" s="40">
        <f t="shared" si="19"/>
        <v>1</v>
      </c>
    </row>
    <row r="40" spans="1:10" x14ac:dyDescent="0.2">
      <c r="A40" s="38" t="s">
        <v>56</v>
      </c>
      <c r="B40" s="38" t="s">
        <v>57</v>
      </c>
      <c r="C40" s="38" t="s">
        <v>44</v>
      </c>
      <c r="D40" s="39">
        <f>SUMIFS('Raport EEE'!$I$13:$I$148,'Raport EEE'!$E$13:$E$148,$B40,'Raport EEE'!$B$13:$B$148,$C40)</f>
        <v>72</v>
      </c>
      <c r="E40" s="39">
        <f t="shared" si="14"/>
        <v>15.602399999999999</v>
      </c>
      <c r="F40" s="40">
        <f t="shared" si="15"/>
        <v>4.4429813048788036E-5</v>
      </c>
      <c r="G40" s="39">
        <f t="shared" si="16"/>
        <v>15.602400000000001</v>
      </c>
      <c r="H40" s="39">
        <f t="shared" si="17"/>
        <v>13.373485714285717</v>
      </c>
      <c r="I40" s="39">
        <f t="shared" si="18"/>
        <v>2.2289142857142847</v>
      </c>
      <c r="J40" s="40">
        <f t="shared" si="19"/>
        <v>1.0000000000000002</v>
      </c>
    </row>
    <row r="41" spans="1:10" x14ac:dyDescent="0.2">
      <c r="A41" s="38" t="s">
        <v>56</v>
      </c>
      <c r="B41" s="38" t="s">
        <v>57</v>
      </c>
      <c r="C41" s="38" t="s">
        <v>61</v>
      </c>
      <c r="D41" s="39">
        <f>SUMIFS('Raport EEE'!$I$13:$I$148,'Raport EEE'!$E$13:$E$148,$B41,'Raport EEE'!$B$13:$B$148,$C41)</f>
        <v>36</v>
      </c>
      <c r="E41" s="39">
        <f t="shared" si="14"/>
        <v>7.8011999999999997</v>
      </c>
      <c r="F41" s="40">
        <f t="shared" si="15"/>
        <v>2.2214906524394018E-5</v>
      </c>
      <c r="G41" s="39">
        <f t="shared" si="16"/>
        <v>7.8012000000000006</v>
      </c>
      <c r="H41" s="39">
        <f t="shared" si="17"/>
        <v>6.6867428571428587</v>
      </c>
      <c r="I41" s="39">
        <f t="shared" si="18"/>
        <v>1.1144571428571424</v>
      </c>
      <c r="J41" s="40">
        <f t="shared" si="19"/>
        <v>1.0000000000000002</v>
      </c>
    </row>
    <row r="42" spans="1:10" x14ac:dyDescent="0.2">
      <c r="A42" s="43"/>
      <c r="B42" s="43" t="s">
        <v>145</v>
      </c>
      <c r="C42" s="43" t="s">
        <v>57</v>
      </c>
      <c r="D42" s="44">
        <f t="shared" ref="D42:I42" si="20">SUM(D33:D41)</f>
        <v>1620533.49</v>
      </c>
      <c r="E42" s="44">
        <f t="shared" si="20"/>
        <v>351169.6072829999</v>
      </c>
      <c r="F42" s="45">
        <f t="shared" si="20"/>
        <v>1</v>
      </c>
      <c r="G42" s="44">
        <f t="shared" si="20"/>
        <v>351169.6072829999</v>
      </c>
      <c r="H42" s="44">
        <f t="shared" si="20"/>
        <v>301002.52052828582</v>
      </c>
      <c r="I42" s="44">
        <f t="shared" si="20"/>
        <v>50167.086754714248</v>
      </c>
      <c r="J42" s="45">
        <f t="shared" si="19"/>
        <v>1</v>
      </c>
    </row>
    <row r="44" spans="1:10" x14ac:dyDescent="0.2">
      <c r="A44" s="38" t="s">
        <v>26</v>
      </c>
      <c r="B44" s="38" t="s">
        <v>27</v>
      </c>
      <c r="C44" s="38" t="s">
        <v>50</v>
      </c>
      <c r="D44" s="39">
        <f>SUMIFS('Raport EEE'!$I$13:$I$148,'Raport EEE'!$E$13:$E$148,$B44,'Raport EEE'!$B$13:$B$148,$C44)</f>
        <v>285326.76999999996</v>
      </c>
      <c r="E44" s="39">
        <f t="shared" ref="E44:E50" si="21">D44*$C$3</f>
        <v>61830.311058999992</v>
      </c>
      <c r="F44" s="40">
        <f t="shared" ref="F44:F50" si="22">IF($C$13=0,0,D44/$C$13)</f>
        <v>0.83200065098161435</v>
      </c>
      <c r="G44" s="39">
        <f t="shared" ref="G44:G50" si="23">F44*$O$13</f>
        <v>61830.311059</v>
      </c>
      <c r="H44" s="39">
        <f t="shared" ref="H44:H50" si="24">F44*$Q$13</f>
        <v>44655.224653722224</v>
      </c>
      <c r="I44" s="39">
        <f t="shared" ref="I44:I50" si="25">F44*$R$13</f>
        <v>17175.086405277776</v>
      </c>
      <c r="J44" s="40">
        <f t="shared" ref="J44:J51" si="26">IF(E44=0,0,G44/E44)</f>
        <v>1.0000000000000002</v>
      </c>
    </row>
    <row r="45" spans="1:10" x14ac:dyDescent="0.2">
      <c r="A45" s="38" t="s">
        <v>26</v>
      </c>
      <c r="B45" s="38" t="s">
        <v>27</v>
      </c>
      <c r="C45" s="38" t="s">
        <v>54</v>
      </c>
      <c r="D45" s="39">
        <f>SUMIFS('Raport EEE'!$I$13:$I$148,'Raport EEE'!$E$13:$E$148,$B45,'Raport EEE'!$B$13:$B$148,$C45)</f>
        <v>29441.079999999998</v>
      </c>
      <c r="E45" s="39">
        <f t="shared" si="21"/>
        <v>6379.882036</v>
      </c>
      <c r="F45" s="40">
        <f t="shared" si="22"/>
        <v>8.5848929371757823E-2</v>
      </c>
      <c r="G45" s="39">
        <f t="shared" si="23"/>
        <v>6379.8820360000009</v>
      </c>
      <c r="H45" s="39">
        <f t="shared" si="24"/>
        <v>4607.692581555556</v>
      </c>
      <c r="I45" s="39">
        <f t="shared" si="25"/>
        <v>1772.1894544444444</v>
      </c>
      <c r="J45" s="40">
        <f t="shared" si="26"/>
        <v>1.0000000000000002</v>
      </c>
    </row>
    <row r="46" spans="1:10" x14ac:dyDescent="0.2">
      <c r="A46" s="38" t="s">
        <v>26</v>
      </c>
      <c r="B46" s="38" t="s">
        <v>27</v>
      </c>
      <c r="C46" s="38" t="s">
        <v>109</v>
      </c>
      <c r="D46" s="39">
        <f>SUMIFS('Raport EEE'!$I$13:$I$148,'Raport EEE'!$E$13:$E$148,$B46,'Raport EEE'!$B$13:$B$148,$C46)</f>
        <v>24387.5</v>
      </c>
      <c r="E46" s="39">
        <f t="shared" si="21"/>
        <v>5284.7712499999998</v>
      </c>
      <c r="F46" s="40">
        <f t="shared" si="22"/>
        <v>7.1112906355804334E-2</v>
      </c>
      <c r="G46" s="39">
        <f t="shared" si="23"/>
        <v>5284.7712499999998</v>
      </c>
      <c r="H46" s="39">
        <f t="shared" si="24"/>
        <v>3816.7792361111115</v>
      </c>
      <c r="I46" s="39">
        <f t="shared" si="25"/>
        <v>1467.9920138888888</v>
      </c>
      <c r="J46" s="40">
        <f t="shared" si="26"/>
        <v>1</v>
      </c>
    </row>
    <row r="47" spans="1:10" x14ac:dyDescent="0.2">
      <c r="A47" s="38" t="s">
        <v>26</v>
      </c>
      <c r="B47" s="38" t="s">
        <v>27</v>
      </c>
      <c r="C47" s="38" t="s">
        <v>81</v>
      </c>
      <c r="D47" s="39">
        <f>SUMIFS('Raport EEE'!$I$13:$I$148,'Raport EEE'!$E$13:$E$148,$B47,'Raport EEE'!$B$13:$B$148,$C47)</f>
        <v>2474.2710000000002</v>
      </c>
      <c r="E47" s="39">
        <f t="shared" si="21"/>
        <v>536.1745257</v>
      </c>
      <c r="F47" s="40">
        <f t="shared" si="22"/>
        <v>7.2148683514867192E-3</v>
      </c>
      <c r="G47" s="39">
        <f t="shared" si="23"/>
        <v>536.17452570000012</v>
      </c>
      <c r="H47" s="39">
        <f t="shared" si="24"/>
        <v>387.2371574500001</v>
      </c>
      <c r="I47" s="39">
        <f t="shared" si="25"/>
        <v>148.93736825000002</v>
      </c>
      <c r="J47" s="40">
        <f t="shared" si="26"/>
        <v>1.0000000000000002</v>
      </c>
    </row>
    <row r="48" spans="1:10" x14ac:dyDescent="0.2">
      <c r="A48" s="38" t="s">
        <v>26</v>
      </c>
      <c r="B48" s="38" t="s">
        <v>27</v>
      </c>
      <c r="C48" s="38" t="s">
        <v>24</v>
      </c>
      <c r="D48" s="39">
        <f>SUMIFS('Raport EEE'!$I$13:$I$148,'Raport EEE'!$E$13:$E$148,$B48,'Raport EEE'!$B$13:$B$148,$C48)</f>
        <v>638</v>
      </c>
      <c r="E48" s="39">
        <f t="shared" si="21"/>
        <v>138.25460000000001</v>
      </c>
      <c r="F48" s="40">
        <f t="shared" si="22"/>
        <v>1.8603806972835742E-3</v>
      </c>
      <c r="G48" s="39">
        <f t="shared" si="23"/>
        <v>138.25460000000001</v>
      </c>
      <c r="H48" s="39">
        <f t="shared" si="24"/>
        <v>99.850544444444452</v>
      </c>
      <c r="I48" s="39">
        <f t="shared" si="25"/>
        <v>38.404055555555558</v>
      </c>
      <c r="J48" s="40">
        <f t="shared" si="26"/>
        <v>1</v>
      </c>
    </row>
    <row r="49" spans="1:10" x14ac:dyDescent="0.2">
      <c r="A49" s="38" t="s">
        <v>26</v>
      </c>
      <c r="B49" s="38" t="s">
        <v>27</v>
      </c>
      <c r="C49" s="38" t="s">
        <v>85</v>
      </c>
      <c r="D49" s="39">
        <f>SUMIFS('Raport EEE'!$I$13:$I$148,'Raport EEE'!$E$13:$E$148,$B49,'Raport EEE'!$B$13:$B$148,$C49)</f>
        <v>562.29999999999995</v>
      </c>
      <c r="E49" s="39">
        <f t="shared" si="21"/>
        <v>121.85041</v>
      </c>
      <c r="F49" s="40">
        <f t="shared" si="22"/>
        <v>1.6396427368065105E-3</v>
      </c>
      <c r="G49" s="39">
        <f t="shared" si="23"/>
        <v>121.85041</v>
      </c>
      <c r="H49" s="39">
        <f t="shared" si="24"/>
        <v>88.003073888888892</v>
      </c>
      <c r="I49" s="39">
        <f t="shared" si="25"/>
        <v>33.847336111111112</v>
      </c>
      <c r="J49" s="40">
        <f t="shared" si="26"/>
        <v>1</v>
      </c>
    </row>
    <row r="50" spans="1:10" x14ac:dyDescent="0.2">
      <c r="A50" s="38" t="s">
        <v>26</v>
      </c>
      <c r="B50" s="38" t="s">
        <v>27</v>
      </c>
      <c r="C50" s="38" t="s">
        <v>101</v>
      </c>
      <c r="D50" s="39">
        <f>SUMIFS('Raport EEE'!$I$13:$I$148,'Raport EEE'!$E$13:$E$148,$B50,'Raport EEE'!$B$13:$B$148,$C50)</f>
        <v>110.64</v>
      </c>
      <c r="E50" s="39">
        <f t="shared" si="21"/>
        <v>23.975688000000002</v>
      </c>
      <c r="F50" s="40">
        <f t="shared" si="22"/>
        <v>3.2262150524679415E-4</v>
      </c>
      <c r="G50" s="39">
        <f t="shared" si="23"/>
        <v>23.975688000000005</v>
      </c>
      <c r="H50" s="39">
        <f t="shared" si="24"/>
        <v>17.31577466666667</v>
      </c>
      <c r="I50" s="39">
        <f t="shared" si="25"/>
        <v>6.6599133333333338</v>
      </c>
      <c r="J50" s="40">
        <f t="shared" si="26"/>
        <v>1.0000000000000002</v>
      </c>
    </row>
    <row r="51" spans="1:10" x14ac:dyDescent="0.2">
      <c r="A51" s="43"/>
      <c r="B51" s="43" t="s">
        <v>145</v>
      </c>
      <c r="C51" s="43" t="s">
        <v>27</v>
      </c>
      <c r="D51" s="44">
        <f t="shared" ref="D51:I51" si="27">SUM(D44:D50)</f>
        <v>342940.56099999999</v>
      </c>
      <c r="E51" s="44">
        <f t="shared" si="27"/>
        <v>74315.219568700006</v>
      </c>
      <c r="F51" s="45">
        <f t="shared" si="27"/>
        <v>1.0000000000000002</v>
      </c>
      <c r="G51" s="44">
        <f t="shared" si="27"/>
        <v>74315.219568700006</v>
      </c>
      <c r="H51" s="44">
        <f t="shared" si="27"/>
        <v>53672.103021838899</v>
      </c>
      <c r="I51" s="44">
        <f t="shared" si="27"/>
        <v>20643.116546861107</v>
      </c>
      <c r="J51" s="45">
        <f t="shared" si="26"/>
        <v>1</v>
      </c>
    </row>
    <row r="53" spans="1:10" x14ac:dyDescent="0.2">
      <c r="A53" s="38" t="s">
        <v>111</v>
      </c>
      <c r="B53" s="38" t="s">
        <v>112</v>
      </c>
      <c r="C53" s="38" t="s">
        <v>109</v>
      </c>
      <c r="D53" s="39">
        <f>SUMIFS('Raport EEE'!$I$13:$I$148,'Raport EEE'!$E$13:$E$148,$B53,'Raport EEE'!$B$13:$B$148,$C53)</f>
        <v>8339.5</v>
      </c>
      <c r="E53" s="39">
        <f>D53*$C$3</f>
        <v>1807.16965</v>
      </c>
      <c r="F53" s="40">
        <f>IF($C$14=0,0,D53/$C$14)</f>
        <v>1</v>
      </c>
      <c r="G53" s="39">
        <f>F53*$O$14</f>
        <v>1807.16965</v>
      </c>
      <c r="H53" s="39">
        <f>F53*$Q$14</f>
        <v>1306.0568604448652</v>
      </c>
      <c r="I53" s="39">
        <f>F53*$R$14</f>
        <v>501.1127895551349</v>
      </c>
      <c r="J53" s="40">
        <f>IF(E53=0,0,G53/E53)</f>
        <v>1</v>
      </c>
    </row>
    <row r="54" spans="1:10" x14ac:dyDescent="0.2">
      <c r="A54" s="43"/>
      <c r="B54" s="43" t="s">
        <v>145</v>
      </c>
      <c r="C54" s="43" t="s">
        <v>112</v>
      </c>
      <c r="D54" s="44">
        <f t="shared" ref="D54:I54" si="28">SUM(D53:D53)</f>
        <v>8339.5</v>
      </c>
      <c r="E54" s="44">
        <f t="shared" si="28"/>
        <v>1807.16965</v>
      </c>
      <c r="F54" s="45">
        <f t="shared" si="28"/>
        <v>1</v>
      </c>
      <c r="G54" s="44">
        <f t="shared" si="28"/>
        <v>1807.16965</v>
      </c>
      <c r="H54" s="44">
        <f t="shared" si="28"/>
        <v>1306.0568604448652</v>
      </c>
      <c r="I54" s="44">
        <f t="shared" si="28"/>
        <v>501.1127895551349</v>
      </c>
      <c r="J54" s="45">
        <f>IF(E54=0,0,G54/E54)</f>
        <v>1</v>
      </c>
    </row>
    <row r="56" spans="1:10" x14ac:dyDescent="0.2">
      <c r="A56" s="38" t="s">
        <v>89</v>
      </c>
      <c r="B56" s="38" t="s">
        <v>90</v>
      </c>
      <c r="C56" s="38" t="s">
        <v>99</v>
      </c>
      <c r="D56" s="39">
        <f>SUMIFS('Raport EEE'!$I$13:$I$148,'Raport EEE'!$E$13:$E$148,$B56,'Raport EEE'!$B$13:$B$148,$C56)</f>
        <v>10787400</v>
      </c>
      <c r="E56" s="39">
        <f>D56*$C$3</f>
        <v>2337629.58</v>
      </c>
      <c r="F56" s="40">
        <f>IF($C$15=0,0,D56/$C$15)</f>
        <v>0.67249314518187786</v>
      </c>
      <c r="G56" s="39">
        <f>F56*$O$15</f>
        <v>2323036.304130387</v>
      </c>
      <c r="H56" s="39">
        <f>F56*$Q$15</f>
        <v>2000799.796230071</v>
      </c>
      <c r="I56" s="39">
        <f>F56*$R$15</f>
        <v>322236.50790031598</v>
      </c>
      <c r="J56" s="40">
        <f t="shared" ref="J56:J61" si="29">IF(E56=0,0,G56/E56)</f>
        <v>0.99375723339811051</v>
      </c>
    </row>
    <row r="57" spans="1:10" x14ac:dyDescent="0.2">
      <c r="A57" s="38" t="s">
        <v>89</v>
      </c>
      <c r="B57" s="38" t="s">
        <v>90</v>
      </c>
      <c r="C57" s="38" t="s">
        <v>123</v>
      </c>
      <c r="D57" s="39">
        <f>SUMIFS('Raport EEE'!$I$13:$I$148,'Raport EEE'!$E$13:$E$148,$B57,'Raport EEE'!$B$13:$B$148,$C57)</f>
        <v>3924522</v>
      </c>
      <c r="E57" s="39">
        <f>D57*$C$3</f>
        <v>850443.91740000003</v>
      </c>
      <c r="F57" s="40">
        <f>IF($C$15=0,0,D57/$C$15)</f>
        <v>0.24465711321685238</v>
      </c>
      <c r="G57" s="39">
        <f>F57*$O$15</f>
        <v>845134.79451567505</v>
      </c>
      <c r="H57" s="39">
        <f>F57*$Q$15</f>
        <v>727903.18500291358</v>
      </c>
      <c r="I57" s="39">
        <f>F57*$R$15</f>
        <v>117231.60951276153</v>
      </c>
      <c r="J57" s="40">
        <f t="shared" si="29"/>
        <v>0.99375723339811028</v>
      </c>
    </row>
    <row r="58" spans="1:10" x14ac:dyDescent="0.2">
      <c r="A58" s="38" t="s">
        <v>89</v>
      </c>
      <c r="B58" s="38" t="s">
        <v>90</v>
      </c>
      <c r="C58" s="38" t="s">
        <v>104</v>
      </c>
      <c r="D58" s="39">
        <f>SUMIFS('Raport EEE'!$I$13:$I$148,'Raport EEE'!$E$13:$E$148,$B58,'Raport EEE'!$B$13:$B$148,$C58)</f>
        <v>1304658</v>
      </c>
      <c r="E58" s="39">
        <f>D58*$C$3</f>
        <v>282719.38860000001</v>
      </c>
      <c r="F58" s="40">
        <f>IF($C$15=0,0,D58/$C$15)</f>
        <v>8.1333181471596336E-2</v>
      </c>
      <c r="G58" s="39">
        <f>F58*$O$15</f>
        <v>280954.43744314124</v>
      </c>
      <c r="H58" s="39">
        <f>F58*$Q$15</f>
        <v>241982.26269072545</v>
      </c>
      <c r="I58" s="39">
        <f>F58*$R$15</f>
        <v>38972.174752415813</v>
      </c>
      <c r="J58" s="40">
        <f t="shared" si="29"/>
        <v>0.99375723339811028</v>
      </c>
    </row>
    <row r="59" spans="1:10" x14ac:dyDescent="0.2">
      <c r="A59" s="38" t="s">
        <v>89</v>
      </c>
      <c r="B59" s="38" t="s">
        <v>90</v>
      </c>
      <c r="C59" s="38" t="s">
        <v>81</v>
      </c>
      <c r="D59" s="39">
        <f>SUMIFS('Raport EEE'!$I$13:$I$148,'Raport EEE'!$E$13:$E$148,$B59,'Raport EEE'!$B$13:$B$148,$C59)</f>
        <v>24066</v>
      </c>
      <c r="E59" s="39">
        <f>D59*$C$3</f>
        <v>5215.1022000000003</v>
      </c>
      <c r="F59" s="40">
        <f>IF($C$15=0,0,D59/$C$15)</f>
        <v>1.5002892292811122E-3</v>
      </c>
      <c r="G59" s="39">
        <f>F59*$O$15</f>
        <v>5182.5455341603983</v>
      </c>
      <c r="H59" s="39">
        <f>F59*$Q$15</f>
        <v>4463.6564784909133</v>
      </c>
      <c r="I59" s="39">
        <f>F59*$R$15</f>
        <v>718.88905566948506</v>
      </c>
      <c r="J59" s="40">
        <f t="shared" si="29"/>
        <v>0.99375723339811017</v>
      </c>
    </row>
    <row r="60" spans="1:10" x14ac:dyDescent="0.2">
      <c r="A60" s="38" t="s">
        <v>89</v>
      </c>
      <c r="B60" s="38" t="s">
        <v>90</v>
      </c>
      <c r="C60" s="38" t="s">
        <v>109</v>
      </c>
      <c r="D60" s="39">
        <f>SUMIFS('Raport EEE'!$I$13:$I$148,'Raport EEE'!$E$13:$E$148,$B60,'Raport EEE'!$B$13:$B$148,$C60)</f>
        <v>261</v>
      </c>
      <c r="E60" s="39">
        <f>D60*$C$3</f>
        <v>56.558700000000002</v>
      </c>
      <c r="F60" s="40">
        <f>IF($C$15=0,0,D60/$C$15)</f>
        <v>1.6270900392353126E-5</v>
      </c>
      <c r="G60" s="39">
        <f>F60*$O$15</f>
        <v>56.20561723659371</v>
      </c>
      <c r="H60" s="39">
        <f>F60*$Q$15</f>
        <v>48.409139071143045</v>
      </c>
      <c r="I60" s="39">
        <f>F60*$R$15</f>
        <v>7.7964781654506607</v>
      </c>
      <c r="J60" s="40">
        <f t="shared" si="29"/>
        <v>0.9937572333981104</v>
      </c>
    </row>
    <row r="61" spans="1:10" x14ac:dyDescent="0.2">
      <c r="A61" s="43"/>
      <c r="B61" s="43" t="s">
        <v>145</v>
      </c>
      <c r="C61" s="43" t="s">
        <v>90</v>
      </c>
      <c r="D61" s="44">
        <f t="shared" ref="D61:I61" si="30">SUM(D56:D60)</f>
        <v>16040907</v>
      </c>
      <c r="E61" s="44">
        <f t="shared" si="30"/>
        <v>3476064.5469000004</v>
      </c>
      <c r="F61" s="45">
        <f t="shared" si="30"/>
        <v>1</v>
      </c>
      <c r="G61" s="44">
        <f t="shared" si="30"/>
        <v>3454364.2872406002</v>
      </c>
      <c r="H61" s="44">
        <f t="shared" si="30"/>
        <v>2975197.3095412715</v>
      </c>
      <c r="I61" s="44">
        <f t="shared" si="30"/>
        <v>479166.97769932821</v>
      </c>
      <c r="J61" s="45">
        <f t="shared" si="29"/>
        <v>0.99375723339811028</v>
      </c>
    </row>
    <row r="63" spans="1:10" x14ac:dyDescent="0.2">
      <c r="A63" s="43"/>
      <c r="B63" s="43" t="s">
        <v>185</v>
      </c>
      <c r="C63" s="43"/>
      <c r="D63" s="44">
        <f>C16</f>
        <v>18014000.101</v>
      </c>
      <c r="E63" s="44">
        <f>D16</f>
        <v>3903633.8218867001</v>
      </c>
      <c r="F63" s="43"/>
      <c r="G63" s="44">
        <f>O16</f>
        <v>3881910</v>
      </c>
      <c r="H63" s="44">
        <f>Q16</f>
        <v>3331380</v>
      </c>
      <c r="I63" s="44">
        <f>R16</f>
        <v>550530.00000000035</v>
      </c>
      <c r="J63" s="45">
        <f>IF(E63=0,0,G63/E63)</f>
        <v>0.99443497446791751</v>
      </c>
    </row>
    <row r="66" spans="1:1" x14ac:dyDescent="0.2">
      <c r="A66" s="31" t="s">
        <v>186</v>
      </c>
    </row>
    <row r="67" spans="1:1" x14ac:dyDescent="0.2">
      <c r="A67" s="30" t="s">
        <v>187</v>
      </c>
    </row>
    <row r="68" spans="1:1" x14ac:dyDescent="0.2">
      <c r="A68" s="30" t="s">
        <v>188</v>
      </c>
    </row>
    <row r="69" spans="1:1" x14ac:dyDescent="0.2">
      <c r="A69" s="30" t="s">
        <v>189</v>
      </c>
    </row>
    <row r="70" spans="1:1" x14ac:dyDescent="0.2">
      <c r="A70" s="30" t="s">
        <v>190</v>
      </c>
    </row>
    <row r="71" spans="1:1" x14ac:dyDescent="0.2">
      <c r="A71" s="30" t="s">
        <v>191</v>
      </c>
    </row>
    <row r="72" spans="1:1" x14ac:dyDescent="0.2">
      <c r="A72" s="30" t="s">
        <v>192</v>
      </c>
    </row>
    <row r="73" spans="1:1" x14ac:dyDescent="0.2">
      <c r="A73" s="30" t="s">
        <v>193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zoomScale="160" zoomScaleNormal="160" workbookViewId="0">
      <selection activeCell="F7" sqref="F7"/>
    </sheetView>
  </sheetViews>
  <sheetFormatPr baseColWidth="10" defaultColWidth="8.6640625" defaultRowHeight="15" x14ac:dyDescent="0.2"/>
  <cols>
    <col min="1" max="1" width="34" customWidth="1"/>
    <col min="2" max="2" width="13" customWidth="1"/>
    <col min="3" max="3" width="14" customWidth="1"/>
    <col min="4" max="4" width="15" customWidth="1"/>
    <col min="5" max="5" width="16" customWidth="1"/>
    <col min="6" max="6" width="44" customWidth="1"/>
  </cols>
  <sheetData>
    <row r="1" spans="1:6" ht="18" x14ac:dyDescent="0.2">
      <c r="A1" s="29" t="s">
        <v>194</v>
      </c>
    </row>
    <row r="2" spans="1:6" x14ac:dyDescent="0.2">
      <c r="A2" s="30" t="s">
        <v>195</v>
      </c>
    </row>
    <row r="3" spans="1:6" x14ac:dyDescent="0.2">
      <c r="A3" s="31" t="s">
        <v>196</v>
      </c>
      <c r="C3" s="32">
        <v>0.2167</v>
      </c>
    </row>
    <row r="4" spans="1:6" x14ac:dyDescent="0.2">
      <c r="A4" s="31" t="s">
        <v>153</v>
      </c>
      <c r="C4" s="32">
        <v>0.3</v>
      </c>
    </row>
    <row r="6" spans="1:6" ht="43.5" customHeight="1" x14ac:dyDescent="0.2">
      <c r="A6" s="36" t="s">
        <v>17</v>
      </c>
      <c r="B6" s="36" t="s">
        <v>157</v>
      </c>
      <c r="C6" s="36" t="s">
        <v>158</v>
      </c>
      <c r="D6" s="36" t="s">
        <v>197</v>
      </c>
      <c r="E6" s="36" t="s">
        <v>198</v>
      </c>
      <c r="F6" s="36" t="s">
        <v>199</v>
      </c>
    </row>
    <row r="7" spans="1:6" x14ac:dyDescent="0.2">
      <c r="A7" s="38" t="s">
        <v>37</v>
      </c>
      <c r="B7" s="49">
        <v>20</v>
      </c>
      <c r="C7" s="39">
        <f>B7*$C$3</f>
        <v>4.3339999999999996</v>
      </c>
      <c r="D7" s="39">
        <f>C7</f>
        <v>4.3339999999999996</v>
      </c>
      <c r="E7" s="39">
        <f>C7-D7</f>
        <v>0</v>
      </c>
      <c r="F7" s="41" t="s">
        <v>200</v>
      </c>
    </row>
    <row r="8" spans="1:6" x14ac:dyDescent="0.2">
      <c r="A8" s="38" t="s">
        <v>47</v>
      </c>
      <c r="B8" s="49">
        <v>20</v>
      </c>
      <c r="C8" s="39">
        <f>B8*$C$3</f>
        <v>4.3339999999999996</v>
      </c>
      <c r="D8" s="39">
        <f>C8*$C$4</f>
        <v>1.3001999999999998</v>
      </c>
      <c r="E8" s="39">
        <f>C8-D8</f>
        <v>3.0337999999999998</v>
      </c>
      <c r="F8" s="41" t="s">
        <v>201</v>
      </c>
    </row>
    <row r="9" spans="1:6" x14ac:dyDescent="0.2">
      <c r="A9" s="38" t="s">
        <v>57</v>
      </c>
      <c r="B9" s="49">
        <v>40</v>
      </c>
      <c r="C9" s="39">
        <f>B9*$C$3</f>
        <v>8.6679999999999993</v>
      </c>
      <c r="D9" s="39">
        <f>C9*$C$4</f>
        <v>2.6003999999999996</v>
      </c>
      <c r="E9" s="39">
        <f>C9-D9</f>
        <v>6.0675999999999997</v>
      </c>
      <c r="F9" s="41" t="s">
        <v>202</v>
      </c>
    </row>
    <row r="10" spans="1:6" x14ac:dyDescent="0.2">
      <c r="A10" s="38" t="s">
        <v>27</v>
      </c>
      <c r="B10" s="49">
        <v>10</v>
      </c>
      <c r="C10" s="39">
        <f>B10*$C$3</f>
        <v>2.1669999999999998</v>
      </c>
      <c r="D10" s="39">
        <f>C10*$C$4</f>
        <v>0.6500999999999999</v>
      </c>
      <c r="E10" s="39">
        <f>C10-D10</f>
        <v>1.5168999999999999</v>
      </c>
      <c r="F10" s="41" t="s">
        <v>203</v>
      </c>
    </row>
    <row r="11" spans="1:6" x14ac:dyDescent="0.2">
      <c r="A11" s="38" t="s">
        <v>90</v>
      </c>
      <c r="B11" s="49">
        <v>10</v>
      </c>
      <c r="C11" s="39">
        <f>B11*$C$3</f>
        <v>2.1669999999999998</v>
      </c>
      <c r="D11" s="39">
        <v>0</v>
      </c>
      <c r="E11" s="39">
        <f>C11-D11</f>
        <v>2.1669999999999998</v>
      </c>
      <c r="F11" s="41" t="s">
        <v>204</v>
      </c>
    </row>
    <row r="12" spans="1:6" x14ac:dyDescent="0.2">
      <c r="A12" s="43" t="s">
        <v>133</v>
      </c>
      <c r="B12" s="44">
        <f>SUM(B7:B11)</f>
        <v>100</v>
      </c>
      <c r="C12" s="44">
        <f>SUM(C7:C11)</f>
        <v>21.67</v>
      </c>
      <c r="D12" s="44">
        <f>SUM(D7:D11)</f>
        <v>8.8847000000000005</v>
      </c>
      <c r="E12" s="44">
        <f>SUM(E7:E11)</f>
        <v>12.785299999999999</v>
      </c>
      <c r="F12" s="43"/>
    </row>
    <row r="14" spans="1:6" x14ac:dyDescent="0.2">
      <c r="A14" s="30" t="s">
        <v>205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Raport EEE</vt:lpstr>
      <vt:lpstr>Procente</vt:lpstr>
      <vt:lpstr>Colectat</vt:lpstr>
      <vt:lpstr>Alocare colectat</vt:lpstr>
      <vt:lpstr>Exemplu regulă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0</cp:revision>
  <dcterms:created xsi:type="dcterms:W3CDTF">2026-09-01T06:49:50Z</dcterms:created>
  <dcterms:modified xsi:type="dcterms:W3CDTF">2026-09-01T10:12:07Z</dcterms:modified>
  <dc:language>en-US</dc:language>
</cp:coreProperties>
</file>